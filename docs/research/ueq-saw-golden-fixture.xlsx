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/>
  <bookViews>
    <workbookView activeTab="5" autoFilterDateGrouping="true" firstSheet="0" minimized="false" showHorizontalScroll="true" showSheetTabs="true" showVerticalScroll="true" tabRatio="600" visibility="visible"/>
  </bookViews>
  <sheets>
    <sheet name="Overview" sheetId="1" r:id="rId4"/>
    <sheet name="Item Mapping" sheetId="2" r:id="rId5"/>
    <sheet name="Raw Answers" sheetId="3" r:id="rId6"/>
    <sheet name="Transformed Scores" sheetId="4" r:id="rId7"/>
    <sheet name="Respondent Scale Means" sheetId="5" r:id="rId8"/>
    <sheet name="Technical and SAW" sheetId="6" r:id="rId9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<sst xmlns="http://schemas.openxmlformats.org/spreadsheetml/2006/main" uniqueCount="170">
  <si>
    <t>UEQ and SAW golden fixture: ueq-saw-v1</t>
  </si>
  <si>
    <t>Good threshold</t>
  </si>
  <si>
    <t>Score</t>
  </si>
  <si>
    <t>Attractiveness</t>
  </si>
  <si>
    <t>Perspicuity</t>
  </si>
  <si>
    <t>Efficiency</t>
  </si>
  <si>
    <t>Dependability</t>
  </si>
  <si>
    <t>Stimulation</t>
  </si>
  <si>
    <t>Novelty</t>
  </si>
  <si>
    <t>UEQ scale statistics calculated from included answers only</t>
  </si>
  <si>
    <t>Unit</t>
  </si>
  <si>
    <t>Scale</t>
  </si>
  <si>
    <t>n</t>
  </si>
  <si>
    <t>Mean</t>
  </si>
  <si>
    <t>Sample SD</t>
  </si>
  <si>
    <t>SE</t>
  </si>
  <si>
    <t>CI95 lower</t>
  </si>
  <si>
    <t>CI95 upper</t>
  </si>
  <si>
    <t>Cronbach alpha</t>
  </si>
  <si>
    <t>Gap to Good</t>
  </si>
  <si>
    <t>ibadah-yu</t>
  </si>
  <si>
    <t>info-yu</t>
  </si>
  <si>
    <t>Cronbach alpha reflects the heterogeneous fixture responses; Gap to Good is formula-derived from the matching threshold and UEQ mean.</t>
  </si>
  <si>
    <t>UEQ-ID-26-v1 item mapping</t>
  </si>
  <si>
    <t>Order</t>
  </si>
  <si>
    <t>Left label</t>
  </si>
  <si>
    <t>Right label</t>
  </si>
  <si>
    <t>Positive pole</t>
  </si>
  <si>
    <t>menyusahkan</t>
  </si>
  <si>
    <t>menyenangkan</t>
  </si>
  <si>
    <t>right</t>
  </si>
  <si>
    <t>tak dapat dipahami</t>
  </si>
  <si>
    <t>dapat dipahami</t>
  </si>
  <si>
    <t>kreatif</t>
  </si>
  <si>
    <t>monoton</t>
  </si>
  <si>
    <t>left</t>
  </si>
  <si>
    <t>mudah dipelajari</t>
  </si>
  <si>
    <t>sulit dipelajari</t>
  </si>
  <si>
    <t>bermanfaat</t>
  </si>
  <si>
    <t>kurang bermanfaat</t>
  </si>
  <si>
    <t>membosankan</t>
  </si>
  <si>
    <t>mengasyikkan</t>
  </si>
  <si>
    <t>tidak menarik</t>
  </si>
  <si>
    <t>menarik</t>
  </si>
  <si>
    <t>tak dapat diprediksi</t>
  </si>
  <si>
    <t>dapat diprediksi</t>
  </si>
  <si>
    <t>cepat</t>
  </si>
  <si>
    <t>lambat</t>
  </si>
  <si>
    <t>berdaya cipta</t>
  </si>
  <si>
    <t>konvensional</t>
  </si>
  <si>
    <t>menghalangi</t>
  </si>
  <si>
    <t>mendukung</t>
  </si>
  <si>
    <t>baik</t>
  </si>
  <si>
    <t>buruk</t>
  </si>
  <si>
    <t>rumit</t>
  </si>
  <si>
    <t>sederhana</t>
  </si>
  <si>
    <t>tidak disukai</t>
  </si>
  <si>
    <t>menggembirakan</t>
  </si>
  <si>
    <t>lazim</t>
  </si>
  <si>
    <t>terdepan</t>
  </si>
  <si>
    <t>tidak nyaman</t>
  </si>
  <si>
    <t>nyaman</t>
  </si>
  <si>
    <t>aman</t>
  </si>
  <si>
    <t>tidak aman</t>
  </si>
  <si>
    <t>memotivasi</t>
  </si>
  <si>
    <t>tidak memotivasi</t>
  </si>
  <si>
    <t>memenuhi ekspektasi</t>
  </si>
  <si>
    <t>tidak memenuhi ekspektasi</t>
  </si>
  <si>
    <t>tidak efisien</t>
  </si>
  <si>
    <t>efisien</t>
  </si>
  <si>
    <t>jelas</t>
  </si>
  <si>
    <t>membingungkan</t>
  </si>
  <si>
    <t>tidak praktis</t>
  </si>
  <si>
    <t>praktis</t>
  </si>
  <si>
    <t>terorganisasi</t>
  </si>
  <si>
    <t>berantakan</t>
  </si>
  <si>
    <t>atraktif</t>
  </si>
  <si>
    <t>tidak atraktif</t>
  </si>
  <si>
    <t>ramah pengguna</t>
  </si>
  <si>
    <t>tidak ramah pengguna</t>
  </si>
  <si>
    <t>konservatif</t>
  </si>
  <si>
    <t>inovatif</t>
  </si>
  <si>
    <t>Immutable raw answers (decision controls inclusion; scores are not changed)</t>
  </si>
  <si>
    <t>Submission</t>
  </si>
  <si>
    <t>Decision</t>
  </si>
  <si>
    <t>Q1</t>
  </si>
  <si>
    <t>Q2</t>
  </si>
  <si>
    <t>Q3</t>
  </si>
  <si>
    <t>Q4</t>
  </si>
  <si>
    <t>Q5</t>
  </si>
  <si>
    <t>Q6</t>
  </si>
  <si>
    <t>Q7</t>
  </si>
  <si>
    <t>Q8</t>
  </si>
  <si>
    <t>Q9</t>
  </si>
  <si>
    <t>Q10</t>
  </si>
  <si>
    <t>Q11</t>
  </si>
  <si>
    <t>Q12</t>
  </si>
  <si>
    <t>Q13</t>
  </si>
  <si>
    <t>Q14</t>
  </si>
  <si>
    <t>Q15</t>
  </si>
  <si>
    <t>Q16</t>
  </si>
  <si>
    <t>Q17</t>
  </si>
  <si>
    <t>Q18</t>
  </si>
  <si>
    <t>Q19</t>
  </si>
  <si>
    <t>Q20</t>
  </si>
  <si>
    <t>Q21</t>
  </si>
  <si>
    <t>Q22</t>
  </si>
  <si>
    <t>Q23</t>
  </si>
  <si>
    <t>Q24</t>
  </si>
  <si>
    <t>Q25</t>
  </si>
  <si>
    <t>Q26</t>
  </si>
  <si>
    <t>IB-01</t>
  </si>
  <si>
    <t>included</t>
  </si>
  <si>
    <t>IB-02</t>
  </si>
  <si>
    <t>IB-03</t>
  </si>
  <si>
    <t>IB-04</t>
  </si>
  <si>
    <t>IB-05</t>
  </si>
  <si>
    <t>excluded</t>
  </si>
  <si>
    <t>IN-01</t>
  </si>
  <si>
    <t>IN-02</t>
  </si>
  <si>
    <t>IN-03</t>
  </si>
  <si>
    <t>IN-04</t>
  </si>
  <si>
    <t>IN-05</t>
  </si>
  <si>
    <t>Formula-transformed UEQ scores; raw answer sheet remains unchanged</t>
  </si>
  <si>
    <t>Formula-derived respondent scale means and totals for Cronbach alpha</t>
  </si>
  <si>
    <t>Respondent 1 mean</t>
  </si>
  <si>
    <t>Respondent 2 mean</t>
  </si>
  <si>
    <t>Respondent 3 mean</t>
  </si>
  <si>
    <t>Respondent 4 mean</t>
  </si>
  <si>
    <t>Respondent 1 total</t>
  </si>
  <si>
    <t>Respondent 2 total</t>
  </si>
  <si>
    <t>Respondent 3 total</t>
  </si>
  <si>
    <t>Respondent 4 total</t>
  </si>
  <si>
    <t>Technical informants and formula-driven SAW tie</t>
  </si>
  <si>
    <t>Informant</t>
  </si>
  <si>
    <t>C1 points</t>
  </si>
  <si>
    <t>C2 points</t>
  </si>
  <si>
    <t>C3 points</t>
  </si>
  <si>
    <t>Estimated days</t>
  </si>
  <si>
    <t>Urgency</t>
  </si>
  <si>
    <t>Weight total</t>
  </si>
  <si>
    <t>TI-01</t>
  </si>
  <si>
    <t>TI-02</t>
  </si>
  <si>
    <t>TI-03</t>
  </si>
  <si>
    <t>Consensus weights</t>
  </si>
  <si>
    <t>C1</t>
  </si>
  <si>
    <t>C2</t>
  </si>
  <si>
    <t>C3</t>
  </si>
  <si>
    <t>Mean / normalized</t>
  </si>
  <si>
    <t>X1 gap</t>
  </si>
  <si>
    <t>X2 days</t>
  </si>
  <si>
    <t>X3 urgency</t>
  </si>
  <si>
    <t>R1</t>
  </si>
  <si>
    <t>R2</t>
  </si>
  <si>
    <t>R3</t>
  </si>
  <si>
    <t>C1 contribution</t>
  </si>
  <si>
    <t>C2 contribution</t>
  </si>
  <si>
    <t>C3 contribution</t>
  </si>
  <si>
    <t>Vi / rank</t>
  </si>
  <si>
    <t>S0 Vi</t>
  </si>
  <si>
    <t>S0 Rank</t>
  </si>
  <si>
    <t>S1 Vi</t>
  </si>
  <si>
    <t>S1 Rank</t>
  </si>
  <si>
    <t>S2 Vi</t>
  </si>
  <si>
    <t>S2 Rank</t>
  </si>
  <si>
    <t>S1 Delta</t>
  </si>
  <si>
    <t>S2 Delta</t>
  </si>
  <si>
    <t>Rank</t>
  </si>
  <si>
    <t>Tie?</t>
  </si>
  <si>
    <t>Tolerance</t>
  </si>
</sst>
</file>

<file path=xl/styles.xml><?xml version="1.0" encoding="utf-8"?>
<styleSheet xmlns="http://schemas.openxmlformats.org/spreadsheetml/2006/main">
  <numFmts count="1">
    <numFmt numFmtId="164" formatCode="0.000000"/>
  </numFmts>
  <fonts count="4">
    <font>
      <b val="0"/>
      <i val="0"/>
      <strike val="0"/>
      <u val="none"/>
      <sz val="11"/>
      <color rgb="FF000000"/>
      <name val="Carlito"/>
    </font>
    <font>
      <b val="1"/>
      <i val="0"/>
      <strike val="0"/>
      <u val="none"/>
      <sz val="16"/>
      <color rgb="FFFFFFFF"/>
      <name val="Carlito"/>
    </font>
    <font>
      <b val="1"/>
      <i val="0"/>
      <strike val="0"/>
      <u val="none"/>
      <sz val="11"/>
      <color rgb="FFFFFFFF"/>
      <name val="Carlito"/>
    </font>
    <font>
      <b val="1"/>
      <i val="0"/>
      <strike val="0"/>
      <u val="none"/>
      <sz val="11"/>
      <color rgb="FF134E4A"/>
      <name val="Carlito"/>
    </font>
  </fonts>
  <fills count="5">
    <fill>
      <patternFill patternType="none"/>
    </fill>
    <fill>
      <patternFill patternType="gray125"/>
    </fill>
    <fill>
      <patternFill patternType="solid">
        <fgColor rgb="FF0F766E"/>
        <bgColor rgb="FF000000"/>
      </patternFill>
    </fill>
    <fill>
      <patternFill patternType="solid">
        <fgColor rgb="FF115E59"/>
        <bgColor rgb="FF000000"/>
      </patternFill>
    </fill>
    <fill>
      <patternFill patternType="solid">
        <fgColor rgb="FFCCFBF1"/>
        <bgColor rgb="FF000000"/>
      </patternFill>
    </fill>
  </fills>
  <borders count="9">
    <border>
      <left/>
      <right/>
      <top/>
      <bottom/>
      <diagonal/>
    </border>
    <border>
      <left style="thin">
        <color rgb="FF99F6E4"/>
      </left>
      <right/>
      <top style="thin">
        <color rgb="FF99F6E4"/>
      </top>
      <bottom/>
      <diagonal/>
    </border>
    <border>
      <left/>
      <right/>
      <top style="thin">
        <color rgb="FF99F6E4"/>
      </top>
      <bottom/>
      <diagonal/>
    </border>
    <border>
      <left/>
      <right style="thin">
        <color rgb="FF99F6E4"/>
      </right>
      <top style="thin">
        <color rgb="FF99F6E4"/>
      </top>
      <bottom/>
      <diagonal/>
    </border>
    <border>
      <left style="thin">
        <color rgb="FF99F6E4"/>
      </left>
      <right/>
      <top/>
      <bottom/>
      <diagonal/>
    </border>
    <border>
      <left/>
      <right style="thin">
        <color rgb="FF99F6E4"/>
      </right>
      <top/>
      <bottom/>
      <diagonal/>
    </border>
    <border>
      <left style="thin">
        <color rgb="FF99F6E4"/>
      </left>
      <right/>
      <top/>
      <bottom style="thin">
        <color rgb="FF99F6E4"/>
      </bottom>
      <diagonal/>
    </border>
    <border>
      <left/>
      <right/>
      <top/>
      <bottom style="thin">
        <color rgb="FF99F6E4"/>
      </bottom>
      <diagonal/>
    </border>
    <border>
      <left/>
      <right style="thin">
        <color rgb="FF99F6E4"/>
      </right>
      <top/>
      <bottom style="thin">
        <color rgb="FF99F6E4"/>
      </bottom>
      <diagonal/>
    </border>
  </borders>
  <cellStyleXfs count="1">
    <xf numFmtId="0" fontId="0" fillId="0" borderId="0"/>
  </cellStyleXfs>
  <cellXfs count="24">
    <xf xfId="0" fontId="0" numFmtId="0" fillId="0" borderId="0" applyFont="0" applyNumberFormat="0" applyFill="0" applyBorder="0" applyAlignment="0"/>
    <xf xfId="0" fontId="1" numFmtId="0" fillId="2" borderId="0" applyFont="1" applyNumberFormat="0" applyFill="1" applyBorder="0" applyAlignment="1">
      <alignment horizontal="center" vertical="bottom" textRotation="0" wrapText="false" shrinkToFit="false"/>
    </xf>
    <xf xfId="0" fontId="2" numFmtId="0" fillId="3" borderId="0" applyFont="1" applyNumberFormat="0" applyFill="1" applyBorder="0" applyAlignment="1">
      <alignment horizontal="center" vertical="bottom" textRotation="0" wrapText="true" shrinkToFit="false"/>
    </xf>
    <xf xfId="0" fontId="2" numFmtId="0" fillId="3" borderId="1" applyFont="1" applyNumberFormat="0" applyFill="1" applyBorder="1" applyAlignment="1">
      <alignment horizontal="center" vertical="bottom" textRotation="0" wrapText="true" shrinkToFit="false"/>
    </xf>
    <xf xfId="0" fontId="2" numFmtId="0" fillId="3" borderId="2" applyFont="1" applyNumberFormat="0" applyFill="1" applyBorder="1" applyAlignment="1">
      <alignment horizontal="center" vertical="bottom" textRotation="0" wrapText="true" shrinkToFit="false"/>
    </xf>
    <xf xfId="0" fontId="2" numFmtId="0" fillId="3" borderId="3" applyFont="1" applyNumberFormat="0" applyFill="1" applyBorder="1" applyAlignment="1">
      <alignment horizontal="center" vertical="bottom" textRotation="0" wrapText="true" shrinkToFit="false"/>
    </xf>
    <xf xfId="0" fontId="0" numFmtId="0" fillId="0" borderId="4" applyFont="0" applyNumberFormat="0" applyFill="0" applyBorder="1" applyAlignment="0"/>
    <xf xfId="0" fontId="0" numFmtId="0" fillId="0" borderId="0" applyFont="0" applyNumberFormat="0" applyFill="0" applyBorder="0" applyAlignment="0"/>
    <xf xfId="0" fontId="0" numFmtId="0" fillId="0" borderId="5" applyFont="0" applyNumberFormat="0" applyFill="0" applyBorder="1" applyAlignment="0"/>
    <xf xfId="0" fontId="0" numFmtId="0" fillId="0" borderId="6" applyFont="0" applyNumberFormat="0" applyFill="0" applyBorder="1" applyAlignment="0"/>
    <xf xfId="0" fontId="0" numFmtId="0" fillId="0" borderId="7" applyFont="0" applyNumberFormat="0" applyFill="0" applyBorder="1" applyAlignment="0"/>
    <xf xfId="0" fontId="0" numFmtId="0" fillId="0" borderId="8" applyFont="0" applyNumberFormat="0" applyFill="0" applyBorder="1" applyAlignment="0"/>
    <xf xfId="0" fontId="0" numFmtId="164" fillId="0" borderId="0" applyFont="0" applyNumberFormat="1" applyFill="0" applyBorder="0" applyAlignment="0"/>
    <xf xfId="0" fontId="0" numFmtId="164" fillId="0" borderId="5" applyFont="0" applyNumberFormat="1" applyFill="0" applyBorder="1" applyAlignment="0"/>
    <xf xfId="0" fontId="0" numFmtId="164" fillId="0" borderId="7" applyFont="0" applyNumberFormat="1" applyFill="0" applyBorder="1" applyAlignment="0"/>
    <xf xfId="0" fontId="0" numFmtId="164" fillId="0" borderId="8" applyFont="0" applyNumberFormat="1" applyFill="0" applyBorder="1" applyAlignment="0"/>
    <xf xfId="0" fontId="3" numFmtId="0" fillId="4" borderId="0" applyFont="1" applyNumberFormat="0" applyFill="1" applyBorder="0" applyAlignment="0"/>
    <xf xfId="0" fontId="0" numFmtId="0" fillId="0" borderId="2" applyFont="0" applyNumberFormat="0" applyFill="0" applyBorder="1" applyAlignment="0"/>
    <xf xfId="0" fontId="0" numFmtId="0" fillId="0" borderId="3" applyFont="0" applyNumberFormat="0" applyFill="0" applyBorder="1" applyAlignment="0"/>
    <xf xfId="0" fontId="3" numFmtId="0" fillId="4" borderId="4" applyFont="1" applyNumberFormat="0" applyFill="1" applyBorder="1" applyAlignment="0"/>
    <xf xfId="0" fontId="3" numFmtId="0" fillId="4" borderId="5" applyFont="1" applyNumberFormat="0" applyFill="1" applyBorder="1" applyAlignment="0"/>
    <xf xfId="0" fontId="2" numFmtId="0" fillId="3" borderId="4" applyFont="1" applyNumberFormat="0" applyFill="1" applyBorder="1" applyAlignment="1">
      <alignment horizontal="center" vertical="bottom" textRotation="0" wrapText="true" shrinkToFit="false"/>
    </xf>
    <xf xfId="0" fontId="2" numFmtId="0" fillId="3" borderId="5" applyFont="1" applyNumberFormat="0" applyFill="1" applyBorder="1" applyAlignment="1">
      <alignment horizontal="center" vertical="bottom" textRotation="0" wrapText="true" shrinkToFit="false"/>
    </xf>
    <xf xfId="0" fontId="0" numFmtId="2" fillId="0" borderId="0" applyFont="0" applyNumberFormat="1" applyFill="0" applyBorder="0" applyAlignment="0"/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/>
</file>

<file path=xl/worksheets/_rels/sheet2.xml.rels><?xml version="1.0" encoding="UTF-8" standalone="yes"?>
<Relationships xmlns="http://schemas.openxmlformats.org/package/2006/relationships"/>
</file>

<file path=xl/worksheets/_rels/sheet3.xml.rels><?xml version="1.0" encoding="UTF-8" standalone="yes"?>
<Relationships xmlns="http://schemas.openxmlformats.org/package/2006/relationships"/>
</file>

<file path=xl/worksheets/_rels/sheet4.xml.rels><?xml version="1.0" encoding="UTF-8" standalone="yes"?>
<Relationships xmlns="http://schemas.openxmlformats.org/package/2006/relationships"/>
</file>

<file path=xl/worksheets/_rels/sheet5.xml.rels><?xml version="1.0" encoding="UTF-8" standalone="yes"?>
<Relationships xmlns="http://schemas.openxmlformats.org/package/2006/relationships"/>
</file>

<file path=xl/worksheets/_rels/sheet6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J27"/>
  <sheetViews>
    <sheetView tabSelected="0" workbookViewId="0" showGridLines="false" showRowColHeaders="1">
      <selection activeCell="A1" sqref="A1"/>
    </sheetView>
  </sheetViews>
  <sheetFormatPr defaultRowHeight="14.4" outlineLevelRow="0" outlineLevelCol="0"/>
  <cols>
    <col min="1" max="1" width="17" customWidth="true" style="0"/>
    <col min="2" max="2" width="17" customWidth="true" style="0"/>
    <col min="3" max="3" width="17" customWidth="true" style="0"/>
    <col min="4" max="4" width="17" customWidth="true" style="0"/>
    <col min="5" max="5" width="17" customWidth="true" style="0"/>
    <col min="6" max="6" width="17" customWidth="true" style="0"/>
    <col min="7" max="7" width="17" customWidth="true" style="0"/>
    <col min="8" max="8" width="17" customWidth="true" style="0"/>
    <col min="9" max="9" width="17" customWidth="true" style="0"/>
    <col min="10" max="10" width="17" customWidth="true" style="0"/>
  </cols>
  <sheetData>
    <row r="1" spans="1:10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3" spans="1:10">
      <c r="A3" s="3" t="s">
        <v>1</v>
      </c>
      <c r="B3" s="4" t="s">
        <v>2</v>
      </c>
      <c r="C3" s="17"/>
      <c r="D3" s="17"/>
      <c r="E3" s="17"/>
      <c r="F3" s="17"/>
      <c r="G3" s="17"/>
      <c r="H3" s="17"/>
      <c r="I3" s="17"/>
      <c r="J3" s="18"/>
    </row>
    <row r="4" spans="1:10">
      <c r="A4" s="6" t="s">
        <v>3</v>
      </c>
      <c r="B4" s="23">
        <v>1.58</v>
      </c>
      <c r="C4" s="7"/>
      <c r="D4" s="7"/>
      <c r="E4" s="7"/>
      <c r="F4" s="7"/>
      <c r="G4" s="7"/>
      <c r="H4" s="7"/>
      <c r="I4" s="7"/>
      <c r="J4" s="8"/>
    </row>
    <row r="5" spans="1:10">
      <c r="A5" s="6" t="s">
        <v>4</v>
      </c>
      <c r="B5" s="23">
        <v>1.73</v>
      </c>
      <c r="C5" s="7"/>
      <c r="D5" s="7"/>
      <c r="E5" s="7"/>
      <c r="F5" s="7"/>
      <c r="G5" s="7"/>
      <c r="H5" s="7"/>
      <c r="I5" s="7"/>
      <c r="J5" s="8"/>
    </row>
    <row r="6" spans="1:10">
      <c r="A6" s="6" t="s">
        <v>5</v>
      </c>
      <c r="B6" s="23">
        <v>1.5</v>
      </c>
      <c r="C6" s="7"/>
      <c r="D6" s="7"/>
      <c r="E6" s="7"/>
      <c r="F6" s="7"/>
      <c r="G6" s="7"/>
      <c r="H6" s="7"/>
      <c r="I6" s="7"/>
      <c r="J6" s="8"/>
    </row>
    <row r="7" spans="1:10">
      <c r="A7" s="6" t="s">
        <v>6</v>
      </c>
      <c r="B7" s="23">
        <v>1.48</v>
      </c>
      <c r="C7" s="7"/>
      <c r="D7" s="7"/>
      <c r="E7" s="7"/>
      <c r="F7" s="7"/>
      <c r="G7" s="7"/>
      <c r="H7" s="7"/>
      <c r="I7" s="7"/>
      <c r="J7" s="8"/>
    </row>
    <row r="8" spans="1:10">
      <c r="A8" s="6" t="s">
        <v>7</v>
      </c>
      <c r="B8" s="23">
        <v>1.35</v>
      </c>
      <c r="C8" s="7"/>
      <c r="D8" s="7"/>
      <c r="E8" s="7"/>
      <c r="F8" s="7"/>
      <c r="G8" s="7"/>
      <c r="H8" s="7"/>
      <c r="I8" s="7"/>
      <c r="J8" s="8"/>
    </row>
    <row r="9" spans="1:10">
      <c r="A9" s="6" t="s">
        <v>8</v>
      </c>
      <c r="B9" s="23">
        <v>1.12</v>
      </c>
      <c r="C9" s="7"/>
      <c r="D9" s="7"/>
      <c r="E9" s="7"/>
      <c r="F9" s="7"/>
      <c r="G9" s="7"/>
      <c r="H9" s="7"/>
      <c r="I9" s="7"/>
      <c r="J9" s="8"/>
    </row>
    <row r="10" spans="1:10">
      <c r="A10" s="6"/>
      <c r="B10" s="23"/>
      <c r="C10" s="7"/>
      <c r="D10" s="7"/>
      <c r="E10" s="7"/>
      <c r="F10" s="7"/>
      <c r="G10" s="7"/>
      <c r="H10" s="7"/>
      <c r="I10" s="7"/>
      <c r="J10" s="8"/>
    </row>
    <row r="11" spans="1:10">
      <c r="A11" s="6"/>
      <c r="B11" s="7"/>
      <c r="C11" s="7"/>
      <c r="D11" s="7"/>
      <c r="E11" s="7"/>
      <c r="F11" s="7"/>
      <c r="G11" s="7"/>
      <c r="H11" s="7"/>
      <c r="I11" s="7"/>
      <c r="J11" s="8"/>
    </row>
    <row r="12" spans="1:10">
      <c r="A12" s="19" t="s">
        <v>9</v>
      </c>
      <c r="B12" s="16"/>
      <c r="C12" s="16"/>
      <c r="D12" s="16"/>
      <c r="E12" s="16"/>
      <c r="F12" s="16"/>
      <c r="G12" s="16"/>
      <c r="H12" s="16"/>
      <c r="I12" s="16"/>
      <c r="J12" s="20"/>
    </row>
    <row r="13" spans="1:10">
      <c r="A13" s="21" t="s">
        <v>10</v>
      </c>
      <c r="B13" s="2" t="s">
        <v>11</v>
      </c>
      <c r="C13" s="2" t="s">
        <v>12</v>
      </c>
      <c r="D13" s="2" t="s">
        <v>13</v>
      </c>
      <c r="E13" s="2" t="s">
        <v>14</v>
      </c>
      <c r="F13" s="2" t="s">
        <v>15</v>
      </c>
      <c r="G13" s="2" t="s">
        <v>16</v>
      </c>
      <c r="H13" s="2" t="s">
        <v>17</v>
      </c>
      <c r="I13" s="2" t="s">
        <v>18</v>
      </c>
      <c r="J13" s="22" t="s">
        <v>19</v>
      </c>
    </row>
    <row r="14" spans="1:10">
      <c r="A14" s="6" t="s">
        <v>20</v>
      </c>
      <c r="B14" s="7" t="s">
        <v>3</v>
      </c>
      <c r="C14" s="7">
        <f>COUNT('Respondent Scale Means'!C4:F4)</f>
        <v>4</v>
      </c>
      <c r="D14" s="12">
        <f>AVERAGE('Respondent Scale Means'!C4:F4)</f>
        <v>1</v>
      </c>
      <c r="E14" s="12">
        <f>_xlfn.STDEV.S('Respondent Scale Means'!C4:F4)</f>
        <v>0.47140452079103</v>
      </c>
      <c r="F14" s="12">
        <f>E14/SQRT(C14)</f>
        <v>0.23570226039552</v>
      </c>
      <c r="G14" s="12">
        <f>D14-3.182446305284263*F14</f>
        <v>0.24989021225714</v>
      </c>
      <c r="H14" s="12">
        <f>D14+3.182446305284263*F14</f>
        <v>1.75010978774286</v>
      </c>
      <c r="I14" s="12">
        <f>(6/(6-1))*(1-(_xlfn.VAR.S('Transformed Scores'!D$4:D$7)+_xlfn.VAR.S('Transformed Scores'!O$4:O$7)+_xlfn.VAR.S('Transformed Scores'!Q$4:Q$7)+_xlfn.VAR.S('Transformed Scores'!S$4:S$7)+_xlfn.VAR.S('Transformed Scores'!AA$4:AA$7)+_xlfn.VAR.S('Transformed Scores'!AB$4:AB$7))/_xlfn.VAR.S('Respondent Scale Means'!G4:J4))</f>
        <v>0.6</v>
      </c>
      <c r="J14" s="13">
        <f>MAX(0,$B$4-D14)</f>
        <v>0.58</v>
      </c>
    </row>
    <row r="15" spans="1:10">
      <c r="A15" s="6" t="s">
        <v>20</v>
      </c>
      <c r="B15" s="7" t="s">
        <v>4</v>
      </c>
      <c r="C15" s="7">
        <f>COUNT('Respondent Scale Means'!C5:F5)</f>
        <v>4</v>
      </c>
      <c r="D15" s="12">
        <f>AVERAGE('Respondent Scale Means'!C5:F5)</f>
        <v>1.125</v>
      </c>
      <c r="E15" s="12">
        <f>_xlfn.STDEV.S('Respondent Scale Means'!C5:F5)</f>
        <v>0.43301270189222</v>
      </c>
      <c r="F15" s="12">
        <f>E15/SQRT(C15)</f>
        <v>0.21650635094611</v>
      </c>
      <c r="G15" s="12">
        <f>D15-3.182446305284263*F15</f>
        <v>0.43598016336098</v>
      </c>
      <c r="H15" s="12">
        <f>D15+3.182446305284263*F15</f>
        <v>1.81401983663902</v>
      </c>
      <c r="I15" s="12">
        <f>(4/(4-1))*(1-(_xlfn.VAR.S('Transformed Scores'!E$4:E$7)+_xlfn.VAR.S('Transformed Scores'!G$4:G$7)+_xlfn.VAR.S('Transformed Scores'!P$4:P$7)+_xlfn.VAR.S('Transformed Scores'!X$4:X$7))/_xlfn.VAR.S('Respondent Scale Means'!G5:J5))</f>
        <v>-0.37037037037037</v>
      </c>
      <c r="J15" s="13">
        <f>MAX(0,$B$5-D15)</f>
        <v>0.605</v>
      </c>
    </row>
    <row r="16" spans="1:10">
      <c r="A16" s="6" t="s">
        <v>20</v>
      </c>
      <c r="B16" s="7" t="s">
        <v>5</v>
      </c>
      <c r="C16" s="7">
        <f>COUNT('Respondent Scale Means'!C6:F6)</f>
        <v>4</v>
      </c>
      <c r="D16" s="12">
        <f>AVERAGE('Respondent Scale Means'!C6:F6)</f>
        <v>0.875</v>
      </c>
      <c r="E16" s="12">
        <f>_xlfn.STDEV.S('Respondent Scale Means'!C6:F6)</f>
        <v>0.32274861218395</v>
      </c>
      <c r="F16" s="12">
        <f>E16/SQRT(C16)</f>
        <v>0.16137430609198</v>
      </c>
      <c r="G16" s="12">
        <f>D16-3.182446305284263*F16</f>
        <v>0.36143493580978</v>
      </c>
      <c r="H16" s="12">
        <f>D16+3.182446305284263*F16</f>
        <v>1.38856506419022</v>
      </c>
      <c r="I16" s="12">
        <f>(4/(4-1))*(1-(_xlfn.VAR.S('Transformed Scores'!L$4:L$7)+_xlfn.VAR.S('Transformed Scores'!W$4:W$7)+_xlfn.VAR.S('Transformed Scores'!Y$4:Y$7)+_xlfn.VAR.S('Transformed Scores'!Z$4:Z$7))/_xlfn.VAR.S('Respondent Scale Means'!G6:J6))</f>
        <v>-0.66666666666667</v>
      </c>
      <c r="J16" s="13">
        <f>MAX(0,$B$6-D16)</f>
        <v>0.625</v>
      </c>
    </row>
    <row r="17" spans="1:10">
      <c r="A17" s="6" t="s">
        <v>20</v>
      </c>
      <c r="B17" s="7" t="s">
        <v>6</v>
      </c>
      <c r="C17" s="7">
        <f>COUNT('Respondent Scale Means'!C7:F7)</f>
        <v>4</v>
      </c>
      <c r="D17" s="12">
        <f>AVERAGE('Respondent Scale Means'!C7:F7)</f>
        <v>0.6875</v>
      </c>
      <c r="E17" s="12">
        <f>_xlfn.STDEV.S('Respondent Scale Means'!C7:F7)</f>
        <v>0.42695628191498</v>
      </c>
      <c r="F17" s="12">
        <f>E17/SQRT(C17)</f>
        <v>0.21347814095749</v>
      </c>
      <c r="G17" s="12">
        <f>D17-3.182446305284263*F17</f>
        <v>0.0081172790508777</v>
      </c>
      <c r="H17" s="12">
        <f>D17+3.182446305284263*F17</f>
        <v>1.36688272094912</v>
      </c>
      <c r="I17" s="12">
        <f>(4/(4-1))*(1-(_xlfn.VAR.S('Transformed Scores'!K$4:K$7)+_xlfn.VAR.S('Transformed Scores'!N$4:N$7)+_xlfn.VAR.S('Transformed Scores'!T$4:T$7)+_xlfn.VAR.S('Transformed Scores'!V$4:V$7))/_xlfn.VAR.S('Respondent Scale Means'!G7:J7))</f>
        <v>-0.68571428571429</v>
      </c>
      <c r="J17" s="13">
        <f>MAX(0,$B$7-D17)</f>
        <v>0.7925</v>
      </c>
    </row>
    <row r="18" spans="1:10">
      <c r="A18" s="6" t="s">
        <v>20</v>
      </c>
      <c r="B18" s="7" t="s">
        <v>7</v>
      </c>
      <c r="C18" s="7">
        <f>COUNT('Respondent Scale Means'!C8:F8)</f>
        <v>4</v>
      </c>
      <c r="D18" s="12">
        <f>AVERAGE('Respondent Scale Means'!C8:F8)</f>
        <v>1.25</v>
      </c>
      <c r="E18" s="12">
        <f>_xlfn.STDEV.S('Respondent Scale Means'!C8:F8)</f>
        <v>0.54006172486732</v>
      </c>
      <c r="F18" s="12">
        <f>E18/SQRT(C18)</f>
        <v>0.27003086243366</v>
      </c>
      <c r="G18" s="12">
        <f>D18-3.182446305284263*F18</f>
        <v>0.39064127953527</v>
      </c>
      <c r="H18" s="12">
        <f>D18+3.182446305284263*F18</f>
        <v>2.10935872046473</v>
      </c>
      <c r="I18" s="12">
        <f>(4/(4-1))*(1-(_xlfn.VAR.S('Transformed Scores'!H$4:H$7)+_xlfn.VAR.S('Transformed Scores'!I$4:I$7)+_xlfn.VAR.S('Transformed Scores'!J$4:J$7)+_xlfn.VAR.S('Transformed Scores'!U$4:U$7))/_xlfn.VAR.S('Respondent Scale Means'!G8:J8))</f>
        <v>-0.28571428571429</v>
      </c>
      <c r="J18" s="13">
        <f>MAX(0,$B$8-D18)</f>
        <v>0.1</v>
      </c>
    </row>
    <row r="19" spans="1:10">
      <c r="A19" s="6" t="s">
        <v>20</v>
      </c>
      <c r="B19" s="7" t="s">
        <v>8</v>
      </c>
      <c r="C19" s="7">
        <f>COUNT('Respondent Scale Means'!C9:F9)</f>
        <v>4</v>
      </c>
      <c r="D19" s="12">
        <f>AVERAGE('Respondent Scale Means'!C9:F9)</f>
        <v>1.0625</v>
      </c>
      <c r="E19" s="12">
        <f>_xlfn.STDEV.S('Respondent Scale Means'!C9:F9)</f>
        <v>0.31457643480295</v>
      </c>
      <c r="F19" s="12">
        <f>E19/SQRT(C19)</f>
        <v>0.15728821740147</v>
      </c>
      <c r="G19" s="12">
        <f>D19-3.182446305284263*F19</f>
        <v>0.56193869366593</v>
      </c>
      <c r="H19" s="12">
        <f>D19+3.182446305284263*F19</f>
        <v>1.56306130633407</v>
      </c>
      <c r="I19" s="12">
        <f>(4/(4-1))*(1-(_xlfn.VAR.S('Transformed Scores'!F$4:F$7)+_xlfn.VAR.S('Transformed Scores'!M$4:M$7)+_xlfn.VAR.S('Transformed Scores'!R$4:R$7)+_xlfn.VAR.S('Transformed Scores'!AC$4:AC$7))/_xlfn.VAR.S('Respondent Scale Means'!G9:J9))</f>
        <v>-2.24561403508772</v>
      </c>
      <c r="J19" s="13">
        <f>MAX(0,$B$9-D19)</f>
        <v>0.0575</v>
      </c>
    </row>
    <row r="20" spans="1:10">
      <c r="A20" s="6" t="s">
        <v>21</v>
      </c>
      <c r="B20" s="7" t="s">
        <v>3</v>
      </c>
      <c r="C20" s="7">
        <f>COUNT('Respondent Scale Means'!C10:F10)</f>
        <v>4</v>
      </c>
      <c r="D20" s="12">
        <f>AVERAGE('Respondent Scale Means'!C10:F10)</f>
        <v>0.375</v>
      </c>
      <c r="E20" s="12">
        <f>_xlfn.STDEV.S('Respondent Scale Means'!C10:F10)</f>
        <v>0.831943285104</v>
      </c>
      <c r="F20" s="12">
        <f>E20/SQRT(C20)</f>
        <v>0.415971642552</v>
      </c>
      <c r="G20" s="12">
        <f>D20-3.182446305284263*F20</f>
        <v>-0.94880741694263</v>
      </c>
      <c r="H20" s="12">
        <f>D20+3.182446305284263*F20</f>
        <v>1.69880741694263</v>
      </c>
      <c r="I20" s="12">
        <f>(6/(6-1))*(1-(_xlfn.VAR.S('Transformed Scores'!D$9:D$12)+_xlfn.VAR.S('Transformed Scores'!O$9:O$12)+_xlfn.VAR.S('Transformed Scores'!Q$9:Q$12)+_xlfn.VAR.S('Transformed Scores'!S$9:S$12)+_xlfn.VAR.S('Transformed Scores'!AA$9:AA$12)+_xlfn.VAR.S('Transformed Scores'!AB$9:AB$12))/_xlfn.VAR.S('Respondent Scale Means'!G10:J10))</f>
        <v>0.76254180602007</v>
      </c>
      <c r="J20" s="13">
        <f>MAX(0,$B$4-D20)</f>
        <v>1.205</v>
      </c>
    </row>
    <row r="21" spans="1:10">
      <c r="A21" s="6" t="s">
        <v>21</v>
      </c>
      <c r="B21" s="7" t="s">
        <v>4</v>
      </c>
      <c r="C21" s="7">
        <f>COUNT('Respondent Scale Means'!C11:F11)</f>
        <v>4</v>
      </c>
      <c r="D21" s="12">
        <f>AVERAGE('Respondent Scale Means'!C11:F11)</f>
        <v>0.6875</v>
      </c>
      <c r="E21" s="12">
        <f>_xlfn.STDEV.S('Respondent Scale Means'!C11:F11)</f>
        <v>0.59072695328158</v>
      </c>
      <c r="F21" s="12">
        <f>E21/SQRT(C21)</f>
        <v>0.29536347664079</v>
      </c>
      <c r="G21" s="12">
        <f>D21-3.182446305284263*F21</f>
        <v>-0.25247840495139</v>
      </c>
      <c r="H21" s="12">
        <f>D21+3.182446305284263*F21</f>
        <v>1.62747840495139</v>
      </c>
      <c r="I21" s="12">
        <f>(4/(4-1))*(1-(_xlfn.VAR.S('Transformed Scores'!E$9:E$12)+_xlfn.VAR.S('Transformed Scores'!G$9:G$12)+_xlfn.VAR.S('Transformed Scores'!P$9:P$12)+_xlfn.VAR.S('Transformed Scores'!X$9:X$12))/_xlfn.VAR.S('Respondent Scale Means'!G11:J11))</f>
        <v>-0.039800995024876</v>
      </c>
      <c r="J21" s="13">
        <f>MAX(0,$B$5-D21)</f>
        <v>1.0425</v>
      </c>
    </row>
    <row r="22" spans="1:10">
      <c r="A22" s="6" t="s">
        <v>21</v>
      </c>
      <c r="B22" s="7" t="s">
        <v>5</v>
      </c>
      <c r="C22" s="7">
        <f>COUNT('Respondent Scale Means'!C12:F12)</f>
        <v>4</v>
      </c>
      <c r="D22" s="12">
        <f>AVERAGE('Respondent Scale Means'!C12:F12)</f>
        <v>0.5625</v>
      </c>
      <c r="E22" s="12">
        <f>_xlfn.STDEV.S('Respondent Scale Means'!C12:F12)</f>
        <v>0.65748890991915</v>
      </c>
      <c r="F22" s="12">
        <f>E22/SQRT(C22)</f>
        <v>0.32874445495957</v>
      </c>
      <c r="G22" s="12">
        <f>D22-3.182446305284263*F22</f>
        <v>-0.48371157606878</v>
      </c>
      <c r="H22" s="12">
        <f>D22+3.182446305284263*F22</f>
        <v>1.60871157606878</v>
      </c>
      <c r="I22" s="12">
        <f>(4/(4-1))*(1-(_xlfn.VAR.S('Transformed Scores'!L$9:L$12)+_xlfn.VAR.S('Transformed Scores'!W$9:W$12)+_xlfn.VAR.S('Transformed Scores'!Y$9:Y$12)+_xlfn.VAR.S('Transformed Scores'!Z$9:Z$12))/_xlfn.VAR.S('Respondent Scale Means'!G12:J12))</f>
        <v>0.06425702811245</v>
      </c>
      <c r="J22" s="13">
        <f>MAX(0,$B$6-D22)</f>
        <v>0.9375</v>
      </c>
    </row>
    <row r="23" spans="1:10">
      <c r="A23" s="6" t="s">
        <v>21</v>
      </c>
      <c r="B23" s="7" t="s">
        <v>6</v>
      </c>
      <c r="C23" s="7">
        <f>COUNT('Respondent Scale Means'!C13:F13)</f>
        <v>4</v>
      </c>
      <c r="D23" s="12">
        <f>AVERAGE('Respondent Scale Means'!C13:F13)</f>
        <v>0.1875</v>
      </c>
      <c r="E23" s="12">
        <f>_xlfn.STDEV.S('Respondent Scale Means'!C13:F13)</f>
        <v>0.94372930440884</v>
      </c>
      <c r="F23" s="12">
        <f>E23/SQRT(C23)</f>
        <v>0.47186465220442</v>
      </c>
      <c r="G23" s="12">
        <f>D23-3.182446305284263*F23</f>
        <v>-1.31418391900221</v>
      </c>
      <c r="H23" s="12">
        <f>D23+3.182446305284263*F23</f>
        <v>1.68918391900221</v>
      </c>
      <c r="I23" s="12">
        <f>(4/(4-1))*(1-(_xlfn.VAR.S('Transformed Scores'!K$9:K$12)+_xlfn.VAR.S('Transformed Scores'!N$9:N$12)+_xlfn.VAR.S('Transformed Scores'!T$9:T$12)+_xlfn.VAR.S('Transformed Scores'!V$9:V$12))/_xlfn.VAR.S('Respondent Scale Means'!G13:J13))</f>
        <v>0.63937621832359</v>
      </c>
      <c r="J23" s="13">
        <f>MAX(0,$B$7-D23)</f>
        <v>1.2925</v>
      </c>
    </row>
    <row r="24" spans="1:10">
      <c r="A24" s="6" t="s">
        <v>21</v>
      </c>
      <c r="B24" s="7" t="s">
        <v>7</v>
      </c>
      <c r="C24" s="7">
        <f>COUNT('Respondent Scale Means'!C14:F14)</f>
        <v>4</v>
      </c>
      <c r="D24" s="12">
        <f>AVERAGE('Respondent Scale Means'!C14:F14)</f>
        <v>0.75</v>
      </c>
      <c r="E24" s="12">
        <f>_xlfn.STDEV.S('Respondent Scale Means'!C14:F14)</f>
        <v>0.54006172486732</v>
      </c>
      <c r="F24" s="12">
        <f>E24/SQRT(C24)</f>
        <v>0.27003086243366</v>
      </c>
      <c r="G24" s="12">
        <f>D24-3.182446305284263*F24</f>
        <v>-0.10935872046473</v>
      </c>
      <c r="H24" s="12">
        <f>D24+3.182446305284263*F24</f>
        <v>1.60935872046473</v>
      </c>
      <c r="I24" s="12">
        <f>(4/(4-1))*(1-(_xlfn.VAR.S('Transformed Scores'!H$9:H$12)+_xlfn.VAR.S('Transformed Scores'!I$9:I$12)+_xlfn.VAR.S('Transformed Scores'!J$9:J$12)+_xlfn.VAR.S('Transformed Scores'!U$9:U$12))/_xlfn.VAR.S('Respondent Scale Means'!G14:J14))</f>
        <v>-0.28571428571429</v>
      </c>
      <c r="J24" s="13">
        <f>MAX(0,$B$8-D24)</f>
        <v>0.6</v>
      </c>
    </row>
    <row r="25" spans="1:10">
      <c r="A25" s="9" t="s">
        <v>21</v>
      </c>
      <c r="B25" s="10" t="s">
        <v>8</v>
      </c>
      <c r="C25" s="10">
        <f>COUNT('Respondent Scale Means'!C15:F15)</f>
        <v>4</v>
      </c>
      <c r="D25" s="14">
        <f>AVERAGE('Respondent Scale Means'!C15:F15)</f>
        <v>0.4375</v>
      </c>
      <c r="E25" s="14">
        <f>_xlfn.STDEV.S('Respondent Scale Means'!C15:F15)</f>
        <v>0.625</v>
      </c>
      <c r="F25" s="14">
        <f>E25/SQRT(C25)</f>
        <v>0.3125</v>
      </c>
      <c r="G25" s="14">
        <f>D25-3.182446305284263*F25</f>
        <v>-0.55701447040133</v>
      </c>
      <c r="H25" s="14">
        <f>D25+3.182446305284263*F25</f>
        <v>1.43201447040133</v>
      </c>
      <c r="I25" s="14">
        <f>(4/(4-1))*(1-(_xlfn.VAR.S('Transformed Scores'!F$9:F$12)+_xlfn.VAR.S('Transformed Scores'!M$9:M$12)+_xlfn.VAR.S('Transformed Scores'!R$9:R$12)+_xlfn.VAR.S('Transformed Scores'!AC$9:AC$12))/_xlfn.VAR.S('Respondent Scale Means'!G15:J15))</f>
        <v>-0.071111111111111</v>
      </c>
      <c r="J25" s="15">
        <f>MAX(0,$B$9-D25)</f>
        <v>0.6825</v>
      </c>
    </row>
    <row r="27" spans="1:10">
      <c r="A27" s="16" t="s">
        <v>22</v>
      </c>
      <c r="B27" s="16"/>
      <c r="C27" s="16"/>
      <c r="D27" s="16"/>
      <c r="E27" s="16"/>
      <c r="F27" s="16"/>
      <c r="G27" s="16"/>
      <c r="H27" s="16"/>
      <c r="I27" s="16"/>
      <c r="J27" s="16"/>
    </row>
  </sheetData>
  <mergeCells>
    <mergeCell ref="A1:J1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E29"/>
  <sheetViews>
    <sheetView tabSelected="0" workbookViewId="0" showGridLines="false" showRowColHeaders="1">
      <selection activeCell="A1" sqref="A1"/>
    </sheetView>
  </sheetViews>
  <sheetFormatPr defaultRowHeight="14.4" outlineLevelRow="0" outlineLevelCol="0"/>
  <cols>
    <col min="1" max="1" width="5" customWidth="true" style="0"/>
    <col min="2" max="2" width="23" customWidth="true" style="0"/>
    <col min="3" max="3" width="23" customWidth="true" style="0"/>
    <col min="4" max="4" width="11" customWidth="true" style="0"/>
    <col min="5" max="5" width="10.25" customWidth="true" style="0"/>
  </cols>
  <sheetData>
    <row r="1" spans="1:5">
      <c r="A1" s="1" t="s">
        <v>23</v>
      </c>
      <c r="B1" s="1"/>
      <c r="C1" s="1"/>
      <c r="D1" s="1"/>
      <c r="E1" s="1"/>
    </row>
    <row r="3" spans="1:5">
      <c r="A3" s="3" t="s">
        <v>24</v>
      </c>
      <c r="B3" s="4" t="s">
        <v>25</v>
      </c>
      <c r="C3" s="4" t="s">
        <v>26</v>
      </c>
      <c r="D3" s="4" t="s">
        <v>11</v>
      </c>
      <c r="E3" s="5" t="s">
        <v>27</v>
      </c>
    </row>
    <row r="4" spans="1:5">
      <c r="A4" s="6">
        <v>1</v>
      </c>
      <c r="B4" s="7" t="s">
        <v>28</v>
      </c>
      <c r="C4" s="7" t="s">
        <v>29</v>
      </c>
      <c r="D4" s="7" t="s">
        <v>3</v>
      </c>
      <c r="E4" s="8" t="s">
        <v>30</v>
      </c>
    </row>
    <row r="5" spans="1:5">
      <c r="A5" s="6">
        <v>2</v>
      </c>
      <c r="B5" s="7" t="s">
        <v>31</v>
      </c>
      <c r="C5" s="7" t="s">
        <v>32</v>
      </c>
      <c r="D5" s="7" t="s">
        <v>4</v>
      </c>
      <c r="E5" s="8" t="s">
        <v>30</v>
      </c>
    </row>
    <row r="6" spans="1:5">
      <c r="A6" s="6">
        <v>3</v>
      </c>
      <c r="B6" s="7" t="s">
        <v>33</v>
      </c>
      <c r="C6" s="7" t="s">
        <v>34</v>
      </c>
      <c r="D6" s="7" t="s">
        <v>8</v>
      </c>
      <c r="E6" s="8" t="s">
        <v>35</v>
      </c>
    </row>
    <row r="7" spans="1:5">
      <c r="A7" s="6">
        <v>4</v>
      </c>
      <c r="B7" s="7" t="s">
        <v>36</v>
      </c>
      <c r="C7" s="7" t="s">
        <v>37</v>
      </c>
      <c r="D7" s="7" t="s">
        <v>4</v>
      </c>
      <c r="E7" s="8" t="s">
        <v>35</v>
      </c>
    </row>
    <row r="8" spans="1:5">
      <c r="A8" s="6">
        <v>5</v>
      </c>
      <c r="B8" s="7" t="s">
        <v>38</v>
      </c>
      <c r="C8" s="7" t="s">
        <v>39</v>
      </c>
      <c r="D8" s="7" t="s">
        <v>7</v>
      </c>
      <c r="E8" s="8" t="s">
        <v>35</v>
      </c>
    </row>
    <row r="9" spans="1:5">
      <c r="A9" s="6">
        <v>6</v>
      </c>
      <c r="B9" s="7" t="s">
        <v>40</v>
      </c>
      <c r="C9" s="7" t="s">
        <v>41</v>
      </c>
      <c r="D9" s="7" t="s">
        <v>7</v>
      </c>
      <c r="E9" s="8" t="s">
        <v>30</v>
      </c>
    </row>
    <row r="10" spans="1:5">
      <c r="A10" s="6">
        <v>7</v>
      </c>
      <c r="B10" s="7" t="s">
        <v>42</v>
      </c>
      <c r="C10" s="7" t="s">
        <v>43</v>
      </c>
      <c r="D10" s="7" t="s">
        <v>7</v>
      </c>
      <c r="E10" s="8" t="s">
        <v>30</v>
      </c>
    </row>
    <row r="11" spans="1:5">
      <c r="A11" s="6">
        <v>8</v>
      </c>
      <c r="B11" s="7" t="s">
        <v>44</v>
      </c>
      <c r="C11" s="7" t="s">
        <v>45</v>
      </c>
      <c r="D11" s="7" t="s">
        <v>6</v>
      </c>
      <c r="E11" s="8" t="s">
        <v>30</v>
      </c>
    </row>
    <row r="12" spans="1:5">
      <c r="A12" s="6">
        <v>9</v>
      </c>
      <c r="B12" s="7" t="s">
        <v>46</v>
      </c>
      <c r="C12" s="7" t="s">
        <v>47</v>
      </c>
      <c r="D12" s="7" t="s">
        <v>5</v>
      </c>
      <c r="E12" s="8" t="s">
        <v>35</v>
      </c>
    </row>
    <row r="13" spans="1:5">
      <c r="A13" s="6">
        <v>10</v>
      </c>
      <c r="B13" s="7" t="s">
        <v>48</v>
      </c>
      <c r="C13" s="7" t="s">
        <v>49</v>
      </c>
      <c r="D13" s="7" t="s">
        <v>8</v>
      </c>
      <c r="E13" s="8" t="s">
        <v>35</v>
      </c>
    </row>
    <row r="14" spans="1:5">
      <c r="A14" s="6">
        <v>11</v>
      </c>
      <c r="B14" s="7" t="s">
        <v>50</v>
      </c>
      <c r="C14" s="7" t="s">
        <v>51</v>
      </c>
      <c r="D14" s="7" t="s">
        <v>6</v>
      </c>
      <c r="E14" s="8" t="s">
        <v>30</v>
      </c>
    </row>
    <row r="15" spans="1:5">
      <c r="A15" s="6">
        <v>12</v>
      </c>
      <c r="B15" s="7" t="s">
        <v>52</v>
      </c>
      <c r="C15" s="7" t="s">
        <v>53</v>
      </c>
      <c r="D15" s="7" t="s">
        <v>3</v>
      </c>
      <c r="E15" s="8" t="s">
        <v>35</v>
      </c>
    </row>
    <row r="16" spans="1:5">
      <c r="A16" s="6">
        <v>13</v>
      </c>
      <c r="B16" s="7" t="s">
        <v>54</v>
      </c>
      <c r="C16" s="7" t="s">
        <v>55</v>
      </c>
      <c r="D16" s="7" t="s">
        <v>4</v>
      </c>
      <c r="E16" s="8" t="s">
        <v>30</v>
      </c>
    </row>
    <row r="17" spans="1:5">
      <c r="A17" s="6">
        <v>14</v>
      </c>
      <c r="B17" s="7" t="s">
        <v>56</v>
      </c>
      <c r="C17" s="7" t="s">
        <v>57</v>
      </c>
      <c r="D17" s="7" t="s">
        <v>3</v>
      </c>
      <c r="E17" s="8" t="s">
        <v>30</v>
      </c>
    </row>
    <row r="18" spans="1:5">
      <c r="A18" s="6">
        <v>15</v>
      </c>
      <c r="B18" s="7" t="s">
        <v>58</v>
      </c>
      <c r="C18" s="7" t="s">
        <v>59</v>
      </c>
      <c r="D18" s="7" t="s">
        <v>8</v>
      </c>
      <c r="E18" s="8" t="s">
        <v>30</v>
      </c>
    </row>
    <row r="19" spans="1:5">
      <c r="A19" s="6">
        <v>16</v>
      </c>
      <c r="B19" s="7" t="s">
        <v>60</v>
      </c>
      <c r="C19" s="7" t="s">
        <v>61</v>
      </c>
      <c r="D19" s="7" t="s">
        <v>3</v>
      </c>
      <c r="E19" s="8" t="s">
        <v>30</v>
      </c>
    </row>
    <row r="20" spans="1:5">
      <c r="A20" s="6">
        <v>17</v>
      </c>
      <c r="B20" s="7" t="s">
        <v>62</v>
      </c>
      <c r="C20" s="7" t="s">
        <v>63</v>
      </c>
      <c r="D20" s="7" t="s">
        <v>6</v>
      </c>
      <c r="E20" s="8" t="s">
        <v>35</v>
      </c>
    </row>
    <row r="21" spans="1:5">
      <c r="A21" s="6">
        <v>18</v>
      </c>
      <c r="B21" s="7" t="s">
        <v>64</v>
      </c>
      <c r="C21" s="7" t="s">
        <v>65</v>
      </c>
      <c r="D21" s="7" t="s">
        <v>7</v>
      </c>
      <c r="E21" s="8" t="s">
        <v>35</v>
      </c>
    </row>
    <row r="22" spans="1:5">
      <c r="A22" s="6">
        <v>19</v>
      </c>
      <c r="B22" s="7" t="s">
        <v>66</v>
      </c>
      <c r="C22" s="7" t="s">
        <v>67</v>
      </c>
      <c r="D22" s="7" t="s">
        <v>6</v>
      </c>
      <c r="E22" s="8" t="s">
        <v>35</v>
      </c>
    </row>
    <row r="23" spans="1:5">
      <c r="A23" s="6">
        <v>20</v>
      </c>
      <c r="B23" s="7" t="s">
        <v>68</v>
      </c>
      <c r="C23" s="7" t="s">
        <v>69</v>
      </c>
      <c r="D23" s="7" t="s">
        <v>5</v>
      </c>
      <c r="E23" s="8" t="s">
        <v>30</v>
      </c>
    </row>
    <row r="24" spans="1:5">
      <c r="A24" s="6">
        <v>21</v>
      </c>
      <c r="B24" s="7" t="s">
        <v>70</v>
      </c>
      <c r="C24" s="7" t="s">
        <v>71</v>
      </c>
      <c r="D24" s="7" t="s">
        <v>4</v>
      </c>
      <c r="E24" s="8" t="s">
        <v>35</v>
      </c>
    </row>
    <row r="25" spans="1:5">
      <c r="A25" s="6">
        <v>22</v>
      </c>
      <c r="B25" s="7" t="s">
        <v>72</v>
      </c>
      <c r="C25" s="7" t="s">
        <v>73</v>
      </c>
      <c r="D25" s="7" t="s">
        <v>5</v>
      </c>
      <c r="E25" s="8" t="s">
        <v>30</v>
      </c>
    </row>
    <row r="26" spans="1:5">
      <c r="A26" s="6">
        <v>23</v>
      </c>
      <c r="B26" s="7" t="s">
        <v>74</v>
      </c>
      <c r="C26" s="7" t="s">
        <v>75</v>
      </c>
      <c r="D26" s="7" t="s">
        <v>5</v>
      </c>
      <c r="E26" s="8" t="s">
        <v>35</v>
      </c>
    </row>
    <row r="27" spans="1:5">
      <c r="A27" s="6">
        <v>24</v>
      </c>
      <c r="B27" s="7" t="s">
        <v>76</v>
      </c>
      <c r="C27" s="7" t="s">
        <v>77</v>
      </c>
      <c r="D27" s="7" t="s">
        <v>3</v>
      </c>
      <c r="E27" s="8" t="s">
        <v>35</v>
      </c>
    </row>
    <row r="28" spans="1:5">
      <c r="A28" s="6">
        <v>25</v>
      </c>
      <c r="B28" s="7" t="s">
        <v>78</v>
      </c>
      <c r="C28" s="7" t="s">
        <v>79</v>
      </c>
      <c r="D28" s="7" t="s">
        <v>3</v>
      </c>
      <c r="E28" s="8" t="s">
        <v>35</v>
      </c>
    </row>
    <row r="29" spans="1:5">
      <c r="A29" s="9">
        <v>26</v>
      </c>
      <c r="B29" s="10" t="s">
        <v>80</v>
      </c>
      <c r="C29" s="10" t="s">
        <v>81</v>
      </c>
      <c r="D29" s="10" t="s">
        <v>8</v>
      </c>
      <c r="E29" s="11" t="s">
        <v>30</v>
      </c>
    </row>
  </sheetData>
  <mergeCells>
    <mergeCell ref="A1:E1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AC13"/>
  <sheetViews>
    <sheetView tabSelected="0" workbookViewId="0" showGridLines="false" showRowColHeaders="1">
      <selection activeCell="A1" sqref="A1"/>
    </sheetView>
  </sheetViews>
  <sheetFormatPr defaultRowHeight="14.4" outlineLevelRow="0" outlineLevelCol="0"/>
  <cols>
    <col min="1" max="1" width="10" customWidth="true" style="0"/>
    <col min="2" max="2" width="10" customWidth="true" style="0"/>
    <col min="3" max="3" width="10" customWidth="true" style="0"/>
    <col min="4" max="4" width="10" customWidth="true" style="0"/>
    <col min="5" max="5" width="10" customWidth="true" style="0"/>
    <col min="6" max="6" width="10" customWidth="true" style="0"/>
    <col min="7" max="7" width="10" customWidth="true" style="0"/>
    <col min="8" max="8" width="10" customWidth="true" style="0"/>
    <col min="9" max="9" width="10" customWidth="true" style="0"/>
    <col min="10" max="10" width="10" customWidth="true" style="0"/>
    <col min="11" max="11" width="10" customWidth="true" style="0"/>
    <col min="12" max="12" width="10" customWidth="true" style="0"/>
    <col min="13" max="13" width="10" customWidth="true" style="0"/>
    <col min="14" max="14" width="10" customWidth="true" style="0"/>
    <col min="15" max="15" width="10" customWidth="true" style="0"/>
    <col min="16" max="16" width="10" customWidth="true" style="0"/>
    <col min="17" max="17" width="10" customWidth="true" style="0"/>
    <col min="18" max="18" width="10" customWidth="true" style="0"/>
    <col min="19" max="19" width="10" customWidth="true" style="0"/>
    <col min="20" max="20" width="10" customWidth="true" style="0"/>
    <col min="21" max="21" width="10" customWidth="true" style="0"/>
    <col min="22" max="22" width="10" customWidth="true" style="0"/>
    <col min="23" max="23" width="10" customWidth="true" style="0"/>
    <col min="24" max="24" width="10" customWidth="true" style="0"/>
    <col min="25" max="25" width="10" customWidth="true" style="0"/>
    <col min="26" max="26" width="10" customWidth="true" style="0"/>
    <col min="27" max="27" width="10" customWidth="true" style="0"/>
    <col min="28" max="28" width="10" customWidth="true" style="0"/>
    <col min="29" max="29" width="10" customWidth="true" style="0"/>
  </cols>
  <sheetData>
    <row r="1" spans="1:29">
      <c r="A1" s="1" t="s">
        <v>82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3" spans="1:29">
      <c r="A3" s="3" t="s">
        <v>83</v>
      </c>
      <c r="B3" s="4" t="s">
        <v>10</v>
      </c>
      <c r="C3" s="4" t="s">
        <v>84</v>
      </c>
      <c r="D3" s="4" t="s">
        <v>85</v>
      </c>
      <c r="E3" s="4" t="s">
        <v>86</v>
      </c>
      <c r="F3" s="4" t="s">
        <v>87</v>
      </c>
      <c r="G3" s="4" t="s">
        <v>88</v>
      </c>
      <c r="H3" s="4" t="s">
        <v>89</v>
      </c>
      <c r="I3" s="4" t="s">
        <v>90</v>
      </c>
      <c r="J3" s="4" t="s">
        <v>91</v>
      </c>
      <c r="K3" s="4" t="s">
        <v>92</v>
      </c>
      <c r="L3" s="4" t="s">
        <v>93</v>
      </c>
      <c r="M3" s="4" t="s">
        <v>94</v>
      </c>
      <c r="N3" s="4" t="s">
        <v>95</v>
      </c>
      <c r="O3" s="4" t="s">
        <v>96</v>
      </c>
      <c r="P3" s="4" t="s">
        <v>97</v>
      </c>
      <c r="Q3" s="4" t="s">
        <v>98</v>
      </c>
      <c r="R3" s="4" t="s">
        <v>99</v>
      </c>
      <c r="S3" s="4" t="s">
        <v>100</v>
      </c>
      <c r="T3" s="4" t="s">
        <v>101</v>
      </c>
      <c r="U3" s="4" t="s">
        <v>102</v>
      </c>
      <c r="V3" s="4" t="s">
        <v>103</v>
      </c>
      <c r="W3" s="4" t="s">
        <v>104</v>
      </c>
      <c r="X3" s="4" t="s">
        <v>105</v>
      </c>
      <c r="Y3" s="4" t="s">
        <v>106</v>
      </c>
      <c r="Z3" s="4" t="s">
        <v>107</v>
      </c>
      <c r="AA3" s="4" t="s">
        <v>108</v>
      </c>
      <c r="AB3" s="4" t="s">
        <v>109</v>
      </c>
      <c r="AC3" s="5" t="s">
        <v>110</v>
      </c>
    </row>
    <row r="4" spans="1:29">
      <c r="A4" s="6" t="s">
        <v>111</v>
      </c>
      <c r="B4" s="7" t="s">
        <v>20</v>
      </c>
      <c r="C4" s="7" t="s">
        <v>112</v>
      </c>
      <c r="D4" s="7">
        <v>7</v>
      </c>
      <c r="E4" s="7">
        <v>6</v>
      </c>
      <c r="F4" s="7">
        <v>1</v>
      </c>
      <c r="G4" s="7">
        <v>2</v>
      </c>
      <c r="H4" s="7">
        <v>1</v>
      </c>
      <c r="I4" s="7">
        <v>6</v>
      </c>
      <c r="J4" s="7">
        <v>5</v>
      </c>
      <c r="K4" s="7">
        <v>6</v>
      </c>
      <c r="L4" s="7">
        <v>2</v>
      </c>
      <c r="M4" s="7">
        <v>2</v>
      </c>
      <c r="N4" s="7">
        <v>6</v>
      </c>
      <c r="O4" s="7">
        <v>2</v>
      </c>
      <c r="P4" s="7">
        <v>5</v>
      </c>
      <c r="Q4" s="7">
        <v>5</v>
      </c>
      <c r="R4" s="7">
        <v>5</v>
      </c>
      <c r="S4" s="7">
        <v>5</v>
      </c>
      <c r="T4" s="7">
        <v>3</v>
      </c>
      <c r="U4" s="7">
        <v>4</v>
      </c>
      <c r="V4" s="7">
        <v>4</v>
      </c>
      <c r="W4" s="7">
        <v>6</v>
      </c>
      <c r="X4" s="7">
        <v>4</v>
      </c>
      <c r="Y4" s="7">
        <v>5</v>
      </c>
      <c r="Z4" s="7">
        <v>4</v>
      </c>
      <c r="AA4" s="7">
        <v>2</v>
      </c>
      <c r="AB4" s="7">
        <v>3</v>
      </c>
      <c r="AC4" s="8">
        <v>4</v>
      </c>
    </row>
    <row r="5" spans="1:29">
      <c r="A5" s="6" t="s">
        <v>113</v>
      </c>
      <c r="B5" s="7" t="s">
        <v>20</v>
      </c>
      <c r="C5" s="7" t="s">
        <v>112</v>
      </c>
      <c r="D5" s="7">
        <v>5</v>
      </c>
      <c r="E5" s="7">
        <v>6</v>
      </c>
      <c r="F5" s="7">
        <v>3</v>
      </c>
      <c r="G5" s="7">
        <v>4</v>
      </c>
      <c r="H5" s="7">
        <v>2</v>
      </c>
      <c r="I5" s="7">
        <v>4</v>
      </c>
      <c r="J5" s="7">
        <v>7</v>
      </c>
      <c r="K5" s="7">
        <v>5</v>
      </c>
      <c r="L5" s="7">
        <v>3</v>
      </c>
      <c r="M5" s="7">
        <v>4</v>
      </c>
      <c r="N5" s="7">
        <v>3</v>
      </c>
      <c r="O5" s="7">
        <v>3</v>
      </c>
      <c r="P5" s="7">
        <v>6</v>
      </c>
      <c r="Q5" s="7">
        <v>6</v>
      </c>
      <c r="R5" s="7">
        <v>6</v>
      </c>
      <c r="S5" s="7">
        <v>5</v>
      </c>
      <c r="T5" s="7">
        <v>2</v>
      </c>
      <c r="U5" s="7">
        <v>2</v>
      </c>
      <c r="V5" s="7">
        <v>3</v>
      </c>
      <c r="W5" s="7">
        <v>4</v>
      </c>
      <c r="X5" s="7">
        <v>2</v>
      </c>
      <c r="Y5" s="7">
        <v>5</v>
      </c>
      <c r="Z5" s="7">
        <v>3</v>
      </c>
      <c r="AA5" s="7">
        <v>4</v>
      </c>
      <c r="AB5" s="7">
        <v>3</v>
      </c>
      <c r="AC5" s="8">
        <v>5</v>
      </c>
    </row>
    <row r="6" spans="1:29">
      <c r="A6" s="6" t="s">
        <v>114</v>
      </c>
      <c r="B6" s="7" t="s">
        <v>20</v>
      </c>
      <c r="C6" s="7" t="s">
        <v>112</v>
      </c>
      <c r="D6" s="7">
        <v>4</v>
      </c>
      <c r="E6" s="7">
        <v>4</v>
      </c>
      <c r="F6" s="7">
        <v>4</v>
      </c>
      <c r="G6" s="7">
        <v>2</v>
      </c>
      <c r="H6" s="7">
        <v>4</v>
      </c>
      <c r="I6" s="7">
        <v>6</v>
      </c>
      <c r="J6" s="7">
        <v>5</v>
      </c>
      <c r="K6" s="7">
        <v>3</v>
      </c>
      <c r="L6" s="7">
        <v>4</v>
      </c>
      <c r="M6" s="7">
        <v>3</v>
      </c>
      <c r="N6" s="7">
        <v>5</v>
      </c>
      <c r="O6" s="7">
        <v>3</v>
      </c>
      <c r="P6" s="7">
        <v>5</v>
      </c>
      <c r="Q6" s="7">
        <v>4</v>
      </c>
      <c r="R6" s="7">
        <v>5</v>
      </c>
      <c r="S6" s="7">
        <v>5</v>
      </c>
      <c r="T6" s="7">
        <v>4</v>
      </c>
      <c r="U6" s="7">
        <v>2</v>
      </c>
      <c r="V6" s="7">
        <v>3</v>
      </c>
      <c r="W6" s="7">
        <v>5</v>
      </c>
      <c r="X6" s="7">
        <v>2</v>
      </c>
      <c r="Y6" s="7">
        <v>5</v>
      </c>
      <c r="Z6" s="7">
        <v>2</v>
      </c>
      <c r="AA6" s="7">
        <v>3</v>
      </c>
      <c r="AB6" s="7">
        <v>3</v>
      </c>
      <c r="AC6" s="8">
        <v>6</v>
      </c>
    </row>
    <row r="7" spans="1:29">
      <c r="A7" s="6" t="s">
        <v>115</v>
      </c>
      <c r="B7" s="7" t="s">
        <v>20</v>
      </c>
      <c r="C7" s="7" t="s">
        <v>112</v>
      </c>
      <c r="D7" s="7">
        <v>4</v>
      </c>
      <c r="E7" s="7">
        <v>4</v>
      </c>
      <c r="F7" s="7">
        <v>4</v>
      </c>
      <c r="G7" s="7">
        <v>3</v>
      </c>
      <c r="H7" s="7">
        <v>4</v>
      </c>
      <c r="I7" s="7">
        <v>5</v>
      </c>
      <c r="J7" s="7">
        <v>4</v>
      </c>
      <c r="K7" s="7">
        <v>4</v>
      </c>
      <c r="L7" s="7">
        <v>4</v>
      </c>
      <c r="M7" s="7">
        <v>3</v>
      </c>
      <c r="N7" s="7">
        <v>5</v>
      </c>
      <c r="O7" s="7">
        <v>4</v>
      </c>
      <c r="P7" s="7">
        <v>4</v>
      </c>
      <c r="Q7" s="7">
        <v>5</v>
      </c>
      <c r="R7" s="7">
        <v>4</v>
      </c>
      <c r="S7" s="7">
        <v>5</v>
      </c>
      <c r="T7" s="7">
        <v>4</v>
      </c>
      <c r="U7" s="7">
        <v>3</v>
      </c>
      <c r="V7" s="7">
        <v>3</v>
      </c>
      <c r="W7" s="7">
        <v>5</v>
      </c>
      <c r="X7" s="7">
        <v>3</v>
      </c>
      <c r="Y7" s="7">
        <v>4</v>
      </c>
      <c r="Z7" s="7">
        <v>3</v>
      </c>
      <c r="AA7" s="7">
        <v>3</v>
      </c>
      <c r="AB7" s="7">
        <v>3</v>
      </c>
      <c r="AC7" s="8">
        <v>6</v>
      </c>
    </row>
    <row r="8" spans="1:29">
      <c r="A8" s="6" t="s">
        <v>116</v>
      </c>
      <c r="B8" s="7" t="s">
        <v>20</v>
      </c>
      <c r="C8" s="7" t="s">
        <v>117</v>
      </c>
      <c r="D8" s="7">
        <v>1</v>
      </c>
      <c r="E8" s="7">
        <v>1</v>
      </c>
      <c r="F8" s="7">
        <v>1</v>
      </c>
      <c r="G8" s="7">
        <v>1</v>
      </c>
      <c r="H8" s="7">
        <v>1</v>
      </c>
      <c r="I8" s="7">
        <v>1</v>
      </c>
      <c r="J8" s="7">
        <v>1</v>
      </c>
      <c r="K8" s="7">
        <v>1</v>
      </c>
      <c r="L8" s="7">
        <v>1</v>
      </c>
      <c r="M8" s="7">
        <v>1</v>
      </c>
      <c r="N8" s="7">
        <v>1</v>
      </c>
      <c r="O8" s="7">
        <v>1</v>
      </c>
      <c r="P8" s="7">
        <v>1</v>
      </c>
      <c r="Q8" s="7">
        <v>1</v>
      </c>
      <c r="R8" s="7">
        <v>1</v>
      </c>
      <c r="S8" s="7">
        <v>1</v>
      </c>
      <c r="T8" s="7">
        <v>1</v>
      </c>
      <c r="U8" s="7">
        <v>1</v>
      </c>
      <c r="V8" s="7">
        <v>1</v>
      </c>
      <c r="W8" s="7">
        <v>1</v>
      </c>
      <c r="X8" s="7">
        <v>1</v>
      </c>
      <c r="Y8" s="7">
        <v>1</v>
      </c>
      <c r="Z8" s="7">
        <v>1</v>
      </c>
      <c r="AA8" s="7">
        <v>1</v>
      </c>
      <c r="AB8" s="7">
        <v>1</v>
      </c>
      <c r="AC8" s="8">
        <v>1</v>
      </c>
    </row>
    <row r="9" spans="1:29">
      <c r="A9" s="6" t="s">
        <v>118</v>
      </c>
      <c r="B9" s="7" t="s">
        <v>21</v>
      </c>
      <c r="C9" s="7" t="s">
        <v>112</v>
      </c>
      <c r="D9" s="7">
        <v>7</v>
      </c>
      <c r="E9" s="7">
        <v>7</v>
      </c>
      <c r="F9" s="7">
        <v>1</v>
      </c>
      <c r="G9" s="7">
        <v>2</v>
      </c>
      <c r="H9" s="7">
        <v>1</v>
      </c>
      <c r="I9" s="7">
        <v>6</v>
      </c>
      <c r="J9" s="7">
        <v>5</v>
      </c>
      <c r="K9" s="7">
        <v>7</v>
      </c>
      <c r="L9" s="7">
        <v>1</v>
      </c>
      <c r="M9" s="7">
        <v>2</v>
      </c>
      <c r="N9" s="7">
        <v>6</v>
      </c>
      <c r="O9" s="7">
        <v>2</v>
      </c>
      <c r="P9" s="7">
        <v>5</v>
      </c>
      <c r="Q9" s="7">
        <v>5</v>
      </c>
      <c r="R9" s="7">
        <v>4</v>
      </c>
      <c r="S9" s="7">
        <v>4</v>
      </c>
      <c r="T9" s="7">
        <v>3</v>
      </c>
      <c r="U9" s="7">
        <v>4</v>
      </c>
      <c r="V9" s="7">
        <v>4</v>
      </c>
      <c r="W9" s="7">
        <v>6</v>
      </c>
      <c r="X9" s="7">
        <v>4</v>
      </c>
      <c r="Y9" s="7">
        <v>5</v>
      </c>
      <c r="Z9" s="7">
        <v>4</v>
      </c>
      <c r="AA9" s="7">
        <v>2</v>
      </c>
      <c r="AB9" s="7">
        <v>3</v>
      </c>
      <c r="AC9" s="8">
        <v>4</v>
      </c>
    </row>
    <row r="10" spans="1:29">
      <c r="A10" s="6" t="s">
        <v>119</v>
      </c>
      <c r="B10" s="7" t="s">
        <v>21</v>
      </c>
      <c r="C10" s="7" t="s">
        <v>112</v>
      </c>
      <c r="D10" s="7">
        <v>3</v>
      </c>
      <c r="E10" s="7">
        <v>5</v>
      </c>
      <c r="F10" s="7">
        <v>4</v>
      </c>
      <c r="G10" s="7">
        <v>5</v>
      </c>
      <c r="H10" s="7">
        <v>3</v>
      </c>
      <c r="I10" s="7">
        <v>3</v>
      </c>
      <c r="J10" s="7">
        <v>6</v>
      </c>
      <c r="K10" s="7">
        <v>3</v>
      </c>
      <c r="L10" s="7">
        <v>3</v>
      </c>
      <c r="M10" s="7">
        <v>6</v>
      </c>
      <c r="N10" s="7">
        <v>2</v>
      </c>
      <c r="O10" s="7">
        <v>5</v>
      </c>
      <c r="P10" s="7">
        <v>6</v>
      </c>
      <c r="Q10" s="7">
        <v>5</v>
      </c>
      <c r="R10" s="7">
        <v>5</v>
      </c>
      <c r="S10" s="7">
        <v>4</v>
      </c>
      <c r="T10" s="7">
        <v>3</v>
      </c>
      <c r="U10" s="7">
        <v>3</v>
      </c>
      <c r="V10" s="7">
        <v>4</v>
      </c>
      <c r="W10" s="7">
        <v>2</v>
      </c>
      <c r="X10" s="7">
        <v>3</v>
      </c>
      <c r="Y10" s="7">
        <v>5</v>
      </c>
      <c r="Z10" s="7">
        <v>4</v>
      </c>
      <c r="AA10" s="7">
        <v>5</v>
      </c>
      <c r="AB10" s="7">
        <v>4</v>
      </c>
      <c r="AC10" s="8">
        <v>4</v>
      </c>
    </row>
    <row r="11" spans="1:29">
      <c r="A11" s="6" t="s">
        <v>120</v>
      </c>
      <c r="B11" s="7" t="s">
        <v>21</v>
      </c>
      <c r="C11" s="7" t="s">
        <v>112</v>
      </c>
      <c r="D11" s="7">
        <v>3</v>
      </c>
      <c r="E11" s="7">
        <v>3</v>
      </c>
      <c r="F11" s="7">
        <v>5</v>
      </c>
      <c r="G11" s="7">
        <v>3</v>
      </c>
      <c r="H11" s="7">
        <v>5</v>
      </c>
      <c r="I11" s="7">
        <v>5</v>
      </c>
      <c r="J11" s="7">
        <v>4</v>
      </c>
      <c r="K11" s="7">
        <v>3</v>
      </c>
      <c r="L11" s="7">
        <v>5</v>
      </c>
      <c r="M11" s="7">
        <v>3</v>
      </c>
      <c r="N11" s="7">
        <v>4</v>
      </c>
      <c r="O11" s="7">
        <v>3</v>
      </c>
      <c r="P11" s="7">
        <v>4</v>
      </c>
      <c r="Q11" s="7">
        <v>3</v>
      </c>
      <c r="R11" s="7">
        <v>4</v>
      </c>
      <c r="S11" s="7">
        <v>5</v>
      </c>
      <c r="T11" s="7">
        <v>5</v>
      </c>
      <c r="U11" s="7">
        <v>3</v>
      </c>
      <c r="V11" s="7">
        <v>4</v>
      </c>
      <c r="W11" s="7">
        <v>5</v>
      </c>
      <c r="X11" s="7">
        <v>3</v>
      </c>
      <c r="Y11" s="7">
        <v>4</v>
      </c>
      <c r="Z11" s="7">
        <v>3</v>
      </c>
      <c r="AA11" s="7">
        <v>4</v>
      </c>
      <c r="AB11" s="7">
        <v>5</v>
      </c>
      <c r="AC11" s="8">
        <v>5</v>
      </c>
    </row>
    <row r="12" spans="1:29">
      <c r="A12" s="6" t="s">
        <v>121</v>
      </c>
      <c r="B12" s="7" t="s">
        <v>21</v>
      </c>
      <c r="C12" s="7" t="s">
        <v>112</v>
      </c>
      <c r="D12" s="7">
        <v>4</v>
      </c>
      <c r="E12" s="7">
        <v>4</v>
      </c>
      <c r="F12" s="7">
        <v>4</v>
      </c>
      <c r="G12" s="7">
        <v>3</v>
      </c>
      <c r="H12" s="7">
        <v>4</v>
      </c>
      <c r="I12" s="7">
        <v>5</v>
      </c>
      <c r="J12" s="7">
        <v>4</v>
      </c>
      <c r="K12" s="7">
        <v>4</v>
      </c>
      <c r="L12" s="7">
        <v>4</v>
      </c>
      <c r="M12" s="7">
        <v>3</v>
      </c>
      <c r="N12" s="7">
        <v>4</v>
      </c>
      <c r="O12" s="7">
        <v>4</v>
      </c>
      <c r="P12" s="7">
        <v>4</v>
      </c>
      <c r="Q12" s="7">
        <v>4</v>
      </c>
      <c r="R12" s="7">
        <v>4</v>
      </c>
      <c r="S12" s="7">
        <v>5</v>
      </c>
      <c r="T12" s="7">
        <v>4</v>
      </c>
      <c r="U12" s="7">
        <v>3</v>
      </c>
      <c r="V12" s="7">
        <v>3</v>
      </c>
      <c r="W12" s="7">
        <v>5</v>
      </c>
      <c r="X12" s="7">
        <v>4</v>
      </c>
      <c r="Y12" s="7">
        <v>4</v>
      </c>
      <c r="Z12" s="7">
        <v>3</v>
      </c>
      <c r="AA12" s="7">
        <v>3</v>
      </c>
      <c r="AB12" s="7">
        <v>3</v>
      </c>
      <c r="AC12" s="8">
        <v>5</v>
      </c>
    </row>
    <row r="13" spans="1:29">
      <c r="A13" s="9" t="s">
        <v>122</v>
      </c>
      <c r="B13" s="10" t="s">
        <v>21</v>
      </c>
      <c r="C13" s="10" t="s">
        <v>117</v>
      </c>
      <c r="D13" s="10">
        <v>1</v>
      </c>
      <c r="E13" s="10">
        <v>1</v>
      </c>
      <c r="F13" s="10">
        <v>1</v>
      </c>
      <c r="G13" s="10">
        <v>1</v>
      </c>
      <c r="H13" s="10">
        <v>1</v>
      </c>
      <c r="I13" s="10">
        <v>1</v>
      </c>
      <c r="J13" s="10">
        <v>1</v>
      </c>
      <c r="K13" s="10">
        <v>1</v>
      </c>
      <c r="L13" s="10">
        <v>1</v>
      </c>
      <c r="M13" s="10">
        <v>1</v>
      </c>
      <c r="N13" s="10">
        <v>1</v>
      </c>
      <c r="O13" s="10">
        <v>1</v>
      </c>
      <c r="P13" s="10">
        <v>1</v>
      </c>
      <c r="Q13" s="10">
        <v>1</v>
      </c>
      <c r="R13" s="10">
        <v>1</v>
      </c>
      <c r="S13" s="10">
        <v>1</v>
      </c>
      <c r="T13" s="10">
        <v>1</v>
      </c>
      <c r="U13" s="10">
        <v>1</v>
      </c>
      <c r="V13" s="10">
        <v>1</v>
      </c>
      <c r="W13" s="10">
        <v>1</v>
      </c>
      <c r="X13" s="10">
        <v>1</v>
      </c>
      <c r="Y13" s="10">
        <v>1</v>
      </c>
      <c r="Z13" s="10">
        <v>1</v>
      </c>
      <c r="AA13" s="10">
        <v>1</v>
      </c>
      <c r="AB13" s="10">
        <v>1</v>
      </c>
      <c r="AC13" s="11">
        <v>1</v>
      </c>
    </row>
  </sheetData>
  <mergeCells>
    <mergeCell ref="A1:AC1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AC13"/>
  <sheetViews>
    <sheetView tabSelected="0" workbookViewId="0" showGridLines="false" showRowColHeaders="1">
      <selection activeCell="A1" sqref="A1"/>
    </sheetView>
  </sheetViews>
  <sheetFormatPr defaultRowHeight="14.4" outlineLevelRow="0" outlineLevelCol="0"/>
  <cols>
    <col min="1" max="1" width="10" customWidth="true" style="0"/>
    <col min="2" max="2" width="10" customWidth="true" style="0"/>
    <col min="3" max="3" width="10" customWidth="true" style="0"/>
    <col min="4" max="4" width="10" customWidth="true" style="0"/>
    <col min="5" max="5" width="10" customWidth="true" style="0"/>
    <col min="6" max="6" width="10" customWidth="true" style="0"/>
    <col min="7" max="7" width="10" customWidth="true" style="0"/>
    <col min="8" max="8" width="10" customWidth="true" style="0"/>
    <col min="9" max="9" width="10" customWidth="true" style="0"/>
    <col min="10" max="10" width="10" customWidth="true" style="0"/>
    <col min="11" max="11" width="10" customWidth="true" style="0"/>
    <col min="12" max="12" width="10" customWidth="true" style="0"/>
    <col min="13" max="13" width="10" customWidth="true" style="0"/>
    <col min="14" max="14" width="10" customWidth="true" style="0"/>
    <col min="15" max="15" width="10" customWidth="true" style="0"/>
    <col min="16" max="16" width="10" customWidth="true" style="0"/>
    <col min="17" max="17" width="10" customWidth="true" style="0"/>
    <col min="18" max="18" width="10" customWidth="true" style="0"/>
    <col min="19" max="19" width="10" customWidth="true" style="0"/>
    <col min="20" max="20" width="10" customWidth="true" style="0"/>
    <col min="21" max="21" width="10" customWidth="true" style="0"/>
    <col min="22" max="22" width="10" customWidth="true" style="0"/>
    <col min="23" max="23" width="10" customWidth="true" style="0"/>
    <col min="24" max="24" width="10" customWidth="true" style="0"/>
    <col min="25" max="25" width="10" customWidth="true" style="0"/>
    <col min="26" max="26" width="10" customWidth="true" style="0"/>
    <col min="27" max="27" width="10" customWidth="true" style="0"/>
    <col min="28" max="28" width="10" customWidth="true" style="0"/>
    <col min="29" max="29" width="10" customWidth="true" style="0"/>
  </cols>
  <sheetData>
    <row r="1" spans="1:29">
      <c r="A1" s="1" t="s">
        <v>123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3" spans="1:29">
      <c r="A3" s="3" t="s">
        <v>83</v>
      </c>
      <c r="B3" s="4" t="s">
        <v>10</v>
      </c>
      <c r="C3" s="4" t="s">
        <v>84</v>
      </c>
      <c r="D3" s="4" t="s">
        <v>85</v>
      </c>
      <c r="E3" s="4" t="s">
        <v>86</v>
      </c>
      <c r="F3" s="4" t="s">
        <v>87</v>
      </c>
      <c r="G3" s="4" t="s">
        <v>88</v>
      </c>
      <c r="H3" s="4" t="s">
        <v>89</v>
      </c>
      <c r="I3" s="4" t="s">
        <v>90</v>
      </c>
      <c r="J3" s="4" t="s">
        <v>91</v>
      </c>
      <c r="K3" s="4" t="s">
        <v>92</v>
      </c>
      <c r="L3" s="4" t="s">
        <v>93</v>
      </c>
      <c r="M3" s="4" t="s">
        <v>94</v>
      </c>
      <c r="N3" s="4" t="s">
        <v>95</v>
      </c>
      <c r="O3" s="4" t="s">
        <v>96</v>
      </c>
      <c r="P3" s="4" t="s">
        <v>97</v>
      </c>
      <c r="Q3" s="4" t="s">
        <v>98</v>
      </c>
      <c r="R3" s="4" t="s">
        <v>99</v>
      </c>
      <c r="S3" s="4" t="s">
        <v>100</v>
      </c>
      <c r="T3" s="4" t="s">
        <v>101</v>
      </c>
      <c r="U3" s="4" t="s">
        <v>102</v>
      </c>
      <c r="V3" s="4" t="s">
        <v>103</v>
      </c>
      <c r="W3" s="4" t="s">
        <v>104</v>
      </c>
      <c r="X3" s="4" t="s">
        <v>105</v>
      </c>
      <c r="Y3" s="4" t="s">
        <v>106</v>
      </c>
      <c r="Z3" s="4" t="s">
        <v>107</v>
      </c>
      <c r="AA3" s="4" t="s">
        <v>108</v>
      </c>
      <c r="AB3" s="4" t="s">
        <v>109</v>
      </c>
      <c r="AC3" s="5" t="s">
        <v>110</v>
      </c>
    </row>
    <row r="4" spans="1:29">
      <c r="A4" s="6" t="s">
        <v>111</v>
      </c>
      <c r="B4" s="7" t="s">
        <v>20</v>
      </c>
      <c r="C4" s="7" t="s">
        <v>112</v>
      </c>
      <c r="D4" s="7">
        <f>IF('Item Mapping'!$E$4="right",'Raw Answers'!D4-4,4-'Raw Answers'!D4)</f>
        <v>3</v>
      </c>
      <c r="E4" s="7">
        <f>IF('Item Mapping'!$E$5="right",'Raw Answers'!E4-4,4-'Raw Answers'!E4)</f>
        <v>2</v>
      </c>
      <c r="F4" s="7">
        <f>IF('Item Mapping'!$E$6="right",'Raw Answers'!F4-4,4-'Raw Answers'!F4)</f>
        <v>3</v>
      </c>
      <c r="G4" s="7">
        <f>IF('Item Mapping'!$E$7="right",'Raw Answers'!G4-4,4-'Raw Answers'!G4)</f>
        <v>2</v>
      </c>
      <c r="H4" s="7">
        <f>IF('Item Mapping'!$E$8="right",'Raw Answers'!H4-4,4-'Raw Answers'!H4)</f>
        <v>3</v>
      </c>
      <c r="I4" s="7">
        <f>IF('Item Mapping'!$E$9="right",'Raw Answers'!I4-4,4-'Raw Answers'!I4)</f>
        <v>2</v>
      </c>
      <c r="J4" s="7">
        <f>IF('Item Mapping'!$E$10="right",'Raw Answers'!J4-4,4-'Raw Answers'!J4)</f>
        <v>1</v>
      </c>
      <c r="K4" s="7">
        <f>IF('Item Mapping'!$E$11="right",'Raw Answers'!K4-4,4-'Raw Answers'!K4)</f>
        <v>2</v>
      </c>
      <c r="L4" s="7">
        <f>IF('Item Mapping'!$E$12="right",'Raw Answers'!L4-4,4-'Raw Answers'!L4)</f>
        <v>2</v>
      </c>
      <c r="M4" s="7">
        <f>IF('Item Mapping'!$E$13="right",'Raw Answers'!M4-4,4-'Raw Answers'!M4)</f>
        <v>2</v>
      </c>
      <c r="N4" s="7">
        <f>IF('Item Mapping'!$E$14="right",'Raw Answers'!N4-4,4-'Raw Answers'!N4)</f>
        <v>2</v>
      </c>
      <c r="O4" s="7">
        <f>IF('Item Mapping'!$E$15="right",'Raw Answers'!O4-4,4-'Raw Answers'!O4)</f>
        <v>2</v>
      </c>
      <c r="P4" s="7">
        <f>IF('Item Mapping'!$E$16="right",'Raw Answers'!P4-4,4-'Raw Answers'!P4)</f>
        <v>1</v>
      </c>
      <c r="Q4" s="7">
        <f>IF('Item Mapping'!$E$17="right",'Raw Answers'!Q4-4,4-'Raw Answers'!Q4)</f>
        <v>1</v>
      </c>
      <c r="R4" s="7">
        <f>IF('Item Mapping'!$E$18="right",'Raw Answers'!R4-4,4-'Raw Answers'!R4)</f>
        <v>1</v>
      </c>
      <c r="S4" s="7">
        <f>IF('Item Mapping'!$E$19="right",'Raw Answers'!S4-4,4-'Raw Answers'!S4)</f>
        <v>1</v>
      </c>
      <c r="T4" s="7">
        <f>IF('Item Mapping'!$E$20="right",'Raw Answers'!T4-4,4-'Raw Answers'!T4)</f>
        <v>1</v>
      </c>
      <c r="U4" s="7">
        <f>IF('Item Mapping'!$E$21="right",'Raw Answers'!U4-4,4-'Raw Answers'!U4)</f>
        <v>0</v>
      </c>
      <c r="V4" s="7">
        <f>IF('Item Mapping'!$E$22="right",'Raw Answers'!V4-4,4-'Raw Answers'!V4)</f>
        <v>0</v>
      </c>
      <c r="W4" s="7">
        <f>IF('Item Mapping'!$E$23="right",'Raw Answers'!W4-4,4-'Raw Answers'!W4)</f>
        <v>2</v>
      </c>
      <c r="X4" s="7">
        <f>IF('Item Mapping'!$E$24="right",'Raw Answers'!X4-4,4-'Raw Answers'!X4)</f>
        <v>0</v>
      </c>
      <c r="Y4" s="7">
        <f>IF('Item Mapping'!$E$25="right",'Raw Answers'!Y4-4,4-'Raw Answers'!Y4)</f>
        <v>1</v>
      </c>
      <c r="Z4" s="7">
        <f>IF('Item Mapping'!$E$26="right",'Raw Answers'!Z4-4,4-'Raw Answers'!Z4)</f>
        <v>0</v>
      </c>
      <c r="AA4" s="7">
        <f>IF('Item Mapping'!$E$27="right",'Raw Answers'!AA4-4,4-'Raw Answers'!AA4)</f>
        <v>2</v>
      </c>
      <c r="AB4" s="7">
        <f>IF('Item Mapping'!$E$28="right",'Raw Answers'!AB4-4,4-'Raw Answers'!AB4)</f>
        <v>1</v>
      </c>
      <c r="AC4" s="8">
        <f>IF('Item Mapping'!$E$29="right",'Raw Answers'!AC4-4,4-'Raw Answers'!AC4)</f>
        <v>0</v>
      </c>
    </row>
    <row r="5" spans="1:29">
      <c r="A5" s="6" t="s">
        <v>113</v>
      </c>
      <c r="B5" s="7" t="s">
        <v>20</v>
      </c>
      <c r="C5" s="7" t="s">
        <v>112</v>
      </c>
      <c r="D5" s="7">
        <f>IF('Item Mapping'!$E$4="right",'Raw Answers'!D5-4,4-'Raw Answers'!D5)</f>
        <v>1</v>
      </c>
      <c r="E5" s="7">
        <f>IF('Item Mapping'!$E$5="right",'Raw Answers'!E5-4,4-'Raw Answers'!E5)</f>
        <v>2</v>
      </c>
      <c r="F5" s="7">
        <f>IF('Item Mapping'!$E$6="right",'Raw Answers'!F5-4,4-'Raw Answers'!F5)</f>
        <v>1</v>
      </c>
      <c r="G5" s="7">
        <f>IF('Item Mapping'!$E$7="right",'Raw Answers'!G5-4,4-'Raw Answers'!G5)</f>
        <v>0</v>
      </c>
      <c r="H5" s="7">
        <f>IF('Item Mapping'!$E$8="right",'Raw Answers'!H5-4,4-'Raw Answers'!H5)</f>
        <v>2</v>
      </c>
      <c r="I5" s="7">
        <f>IF('Item Mapping'!$E$9="right",'Raw Answers'!I5-4,4-'Raw Answers'!I5)</f>
        <v>0</v>
      </c>
      <c r="J5" s="7">
        <f>IF('Item Mapping'!$E$10="right",'Raw Answers'!J5-4,4-'Raw Answers'!J5)</f>
        <v>3</v>
      </c>
      <c r="K5" s="7">
        <f>IF('Item Mapping'!$E$11="right",'Raw Answers'!K5-4,4-'Raw Answers'!K5)</f>
        <v>1</v>
      </c>
      <c r="L5" s="7">
        <f>IF('Item Mapping'!$E$12="right",'Raw Answers'!L5-4,4-'Raw Answers'!L5)</f>
        <v>1</v>
      </c>
      <c r="M5" s="7">
        <f>IF('Item Mapping'!$E$13="right",'Raw Answers'!M5-4,4-'Raw Answers'!M5)</f>
        <v>0</v>
      </c>
      <c r="N5" s="7">
        <f>IF('Item Mapping'!$E$14="right",'Raw Answers'!N5-4,4-'Raw Answers'!N5)</f>
        <v>-1</v>
      </c>
      <c r="O5" s="7">
        <f>IF('Item Mapping'!$E$15="right",'Raw Answers'!O5-4,4-'Raw Answers'!O5)</f>
        <v>1</v>
      </c>
      <c r="P5" s="7">
        <f>IF('Item Mapping'!$E$16="right",'Raw Answers'!P5-4,4-'Raw Answers'!P5)</f>
        <v>2</v>
      </c>
      <c r="Q5" s="7">
        <f>IF('Item Mapping'!$E$17="right",'Raw Answers'!Q5-4,4-'Raw Answers'!Q5)</f>
        <v>2</v>
      </c>
      <c r="R5" s="7">
        <f>IF('Item Mapping'!$E$18="right",'Raw Answers'!R5-4,4-'Raw Answers'!R5)</f>
        <v>2</v>
      </c>
      <c r="S5" s="7">
        <f>IF('Item Mapping'!$E$19="right",'Raw Answers'!S5-4,4-'Raw Answers'!S5)</f>
        <v>1</v>
      </c>
      <c r="T5" s="7">
        <f>IF('Item Mapping'!$E$20="right",'Raw Answers'!T5-4,4-'Raw Answers'!T5)</f>
        <v>2</v>
      </c>
      <c r="U5" s="7">
        <f>IF('Item Mapping'!$E$21="right",'Raw Answers'!U5-4,4-'Raw Answers'!U5)</f>
        <v>2</v>
      </c>
      <c r="V5" s="7">
        <f>IF('Item Mapping'!$E$22="right",'Raw Answers'!V5-4,4-'Raw Answers'!V5)</f>
        <v>1</v>
      </c>
      <c r="W5" s="7">
        <f>IF('Item Mapping'!$E$23="right",'Raw Answers'!W5-4,4-'Raw Answers'!W5)</f>
        <v>0</v>
      </c>
      <c r="X5" s="7">
        <f>IF('Item Mapping'!$E$24="right",'Raw Answers'!X5-4,4-'Raw Answers'!X5)</f>
        <v>2</v>
      </c>
      <c r="Y5" s="7">
        <f>IF('Item Mapping'!$E$25="right",'Raw Answers'!Y5-4,4-'Raw Answers'!Y5)</f>
        <v>1</v>
      </c>
      <c r="Z5" s="7">
        <f>IF('Item Mapping'!$E$26="right",'Raw Answers'!Z5-4,4-'Raw Answers'!Z5)</f>
        <v>1</v>
      </c>
      <c r="AA5" s="7">
        <f>IF('Item Mapping'!$E$27="right",'Raw Answers'!AA5-4,4-'Raw Answers'!AA5)</f>
        <v>0</v>
      </c>
      <c r="AB5" s="7">
        <f>IF('Item Mapping'!$E$28="right",'Raw Answers'!AB5-4,4-'Raw Answers'!AB5)</f>
        <v>1</v>
      </c>
      <c r="AC5" s="8">
        <f>IF('Item Mapping'!$E$29="right",'Raw Answers'!AC5-4,4-'Raw Answers'!AC5)</f>
        <v>1</v>
      </c>
    </row>
    <row r="6" spans="1:29">
      <c r="A6" s="6" t="s">
        <v>114</v>
      </c>
      <c r="B6" s="7" t="s">
        <v>20</v>
      </c>
      <c r="C6" s="7" t="s">
        <v>112</v>
      </c>
      <c r="D6" s="7">
        <f>IF('Item Mapping'!$E$4="right",'Raw Answers'!D6-4,4-'Raw Answers'!D6)</f>
        <v>0</v>
      </c>
      <c r="E6" s="7">
        <f>IF('Item Mapping'!$E$5="right",'Raw Answers'!E6-4,4-'Raw Answers'!E6)</f>
        <v>0</v>
      </c>
      <c r="F6" s="7">
        <f>IF('Item Mapping'!$E$6="right",'Raw Answers'!F6-4,4-'Raw Answers'!F6)</f>
        <v>0</v>
      </c>
      <c r="G6" s="7">
        <f>IF('Item Mapping'!$E$7="right",'Raw Answers'!G6-4,4-'Raw Answers'!G6)</f>
        <v>2</v>
      </c>
      <c r="H6" s="7">
        <f>IF('Item Mapping'!$E$8="right",'Raw Answers'!H6-4,4-'Raw Answers'!H6)</f>
        <v>0</v>
      </c>
      <c r="I6" s="7">
        <f>IF('Item Mapping'!$E$9="right",'Raw Answers'!I6-4,4-'Raw Answers'!I6)</f>
        <v>2</v>
      </c>
      <c r="J6" s="7">
        <f>IF('Item Mapping'!$E$10="right",'Raw Answers'!J6-4,4-'Raw Answers'!J6)</f>
        <v>1</v>
      </c>
      <c r="K6" s="7">
        <f>IF('Item Mapping'!$E$11="right",'Raw Answers'!K6-4,4-'Raw Answers'!K6)</f>
        <v>-1</v>
      </c>
      <c r="L6" s="7">
        <f>IF('Item Mapping'!$E$12="right",'Raw Answers'!L6-4,4-'Raw Answers'!L6)</f>
        <v>0</v>
      </c>
      <c r="M6" s="7">
        <f>IF('Item Mapping'!$E$13="right",'Raw Answers'!M6-4,4-'Raw Answers'!M6)</f>
        <v>1</v>
      </c>
      <c r="N6" s="7">
        <f>IF('Item Mapping'!$E$14="right",'Raw Answers'!N6-4,4-'Raw Answers'!N6)</f>
        <v>1</v>
      </c>
      <c r="O6" s="7">
        <f>IF('Item Mapping'!$E$15="right",'Raw Answers'!O6-4,4-'Raw Answers'!O6)</f>
        <v>1</v>
      </c>
      <c r="P6" s="7">
        <f>IF('Item Mapping'!$E$16="right",'Raw Answers'!P6-4,4-'Raw Answers'!P6)</f>
        <v>1</v>
      </c>
      <c r="Q6" s="7">
        <f>IF('Item Mapping'!$E$17="right",'Raw Answers'!Q6-4,4-'Raw Answers'!Q6)</f>
        <v>0</v>
      </c>
      <c r="R6" s="7">
        <f>IF('Item Mapping'!$E$18="right",'Raw Answers'!R6-4,4-'Raw Answers'!R6)</f>
        <v>1</v>
      </c>
      <c r="S6" s="7">
        <f>IF('Item Mapping'!$E$19="right",'Raw Answers'!S6-4,4-'Raw Answers'!S6)</f>
        <v>1</v>
      </c>
      <c r="T6" s="7">
        <f>IF('Item Mapping'!$E$20="right",'Raw Answers'!T6-4,4-'Raw Answers'!T6)</f>
        <v>0</v>
      </c>
      <c r="U6" s="7">
        <f>IF('Item Mapping'!$E$21="right",'Raw Answers'!U6-4,4-'Raw Answers'!U6)</f>
        <v>2</v>
      </c>
      <c r="V6" s="7">
        <f>IF('Item Mapping'!$E$22="right",'Raw Answers'!V6-4,4-'Raw Answers'!V6)</f>
        <v>1</v>
      </c>
      <c r="W6" s="7">
        <f>IF('Item Mapping'!$E$23="right",'Raw Answers'!W6-4,4-'Raw Answers'!W6)</f>
        <v>1</v>
      </c>
      <c r="X6" s="7">
        <f>IF('Item Mapping'!$E$24="right",'Raw Answers'!X6-4,4-'Raw Answers'!X6)</f>
        <v>2</v>
      </c>
      <c r="Y6" s="7">
        <f>IF('Item Mapping'!$E$25="right",'Raw Answers'!Y6-4,4-'Raw Answers'!Y6)</f>
        <v>1</v>
      </c>
      <c r="Z6" s="7">
        <f>IF('Item Mapping'!$E$26="right",'Raw Answers'!Z6-4,4-'Raw Answers'!Z6)</f>
        <v>2</v>
      </c>
      <c r="AA6" s="7">
        <f>IF('Item Mapping'!$E$27="right",'Raw Answers'!AA6-4,4-'Raw Answers'!AA6)</f>
        <v>1</v>
      </c>
      <c r="AB6" s="7">
        <f>IF('Item Mapping'!$E$28="right",'Raw Answers'!AB6-4,4-'Raw Answers'!AB6)</f>
        <v>1</v>
      </c>
      <c r="AC6" s="8">
        <f>IF('Item Mapping'!$E$29="right",'Raw Answers'!AC6-4,4-'Raw Answers'!AC6)</f>
        <v>2</v>
      </c>
    </row>
    <row r="7" spans="1:29">
      <c r="A7" s="6" t="s">
        <v>115</v>
      </c>
      <c r="B7" s="7" t="s">
        <v>20</v>
      </c>
      <c r="C7" s="7" t="s">
        <v>112</v>
      </c>
      <c r="D7" s="7">
        <f>IF('Item Mapping'!$E$4="right",'Raw Answers'!D7-4,4-'Raw Answers'!D7)</f>
        <v>0</v>
      </c>
      <c r="E7" s="7">
        <f>IF('Item Mapping'!$E$5="right",'Raw Answers'!E7-4,4-'Raw Answers'!E7)</f>
        <v>0</v>
      </c>
      <c r="F7" s="7">
        <f>IF('Item Mapping'!$E$6="right",'Raw Answers'!F7-4,4-'Raw Answers'!F7)</f>
        <v>0</v>
      </c>
      <c r="G7" s="7">
        <f>IF('Item Mapping'!$E$7="right",'Raw Answers'!G7-4,4-'Raw Answers'!G7)</f>
        <v>1</v>
      </c>
      <c r="H7" s="7">
        <f>IF('Item Mapping'!$E$8="right",'Raw Answers'!H7-4,4-'Raw Answers'!H7)</f>
        <v>0</v>
      </c>
      <c r="I7" s="7">
        <f>IF('Item Mapping'!$E$9="right",'Raw Answers'!I7-4,4-'Raw Answers'!I7)</f>
        <v>1</v>
      </c>
      <c r="J7" s="7">
        <f>IF('Item Mapping'!$E$10="right",'Raw Answers'!J7-4,4-'Raw Answers'!J7)</f>
        <v>0</v>
      </c>
      <c r="K7" s="7">
        <f>IF('Item Mapping'!$E$11="right",'Raw Answers'!K7-4,4-'Raw Answers'!K7)</f>
        <v>0</v>
      </c>
      <c r="L7" s="7">
        <f>IF('Item Mapping'!$E$12="right",'Raw Answers'!L7-4,4-'Raw Answers'!L7)</f>
        <v>0</v>
      </c>
      <c r="M7" s="7">
        <f>IF('Item Mapping'!$E$13="right",'Raw Answers'!M7-4,4-'Raw Answers'!M7)</f>
        <v>1</v>
      </c>
      <c r="N7" s="7">
        <f>IF('Item Mapping'!$E$14="right",'Raw Answers'!N7-4,4-'Raw Answers'!N7)</f>
        <v>1</v>
      </c>
      <c r="O7" s="7">
        <f>IF('Item Mapping'!$E$15="right",'Raw Answers'!O7-4,4-'Raw Answers'!O7)</f>
        <v>0</v>
      </c>
      <c r="P7" s="7">
        <f>IF('Item Mapping'!$E$16="right",'Raw Answers'!P7-4,4-'Raw Answers'!P7)</f>
        <v>0</v>
      </c>
      <c r="Q7" s="7">
        <f>IF('Item Mapping'!$E$17="right",'Raw Answers'!Q7-4,4-'Raw Answers'!Q7)</f>
        <v>1</v>
      </c>
      <c r="R7" s="7">
        <f>IF('Item Mapping'!$E$18="right",'Raw Answers'!R7-4,4-'Raw Answers'!R7)</f>
        <v>0</v>
      </c>
      <c r="S7" s="7">
        <f>IF('Item Mapping'!$E$19="right",'Raw Answers'!S7-4,4-'Raw Answers'!S7)</f>
        <v>1</v>
      </c>
      <c r="T7" s="7">
        <f>IF('Item Mapping'!$E$20="right",'Raw Answers'!T7-4,4-'Raw Answers'!T7)</f>
        <v>0</v>
      </c>
      <c r="U7" s="7">
        <f>IF('Item Mapping'!$E$21="right",'Raw Answers'!U7-4,4-'Raw Answers'!U7)</f>
        <v>1</v>
      </c>
      <c r="V7" s="7">
        <f>IF('Item Mapping'!$E$22="right",'Raw Answers'!V7-4,4-'Raw Answers'!V7)</f>
        <v>1</v>
      </c>
      <c r="W7" s="7">
        <f>IF('Item Mapping'!$E$23="right",'Raw Answers'!W7-4,4-'Raw Answers'!W7)</f>
        <v>1</v>
      </c>
      <c r="X7" s="7">
        <f>IF('Item Mapping'!$E$24="right",'Raw Answers'!X7-4,4-'Raw Answers'!X7)</f>
        <v>1</v>
      </c>
      <c r="Y7" s="7">
        <f>IF('Item Mapping'!$E$25="right",'Raw Answers'!Y7-4,4-'Raw Answers'!Y7)</f>
        <v>0</v>
      </c>
      <c r="Z7" s="7">
        <f>IF('Item Mapping'!$E$26="right",'Raw Answers'!Z7-4,4-'Raw Answers'!Z7)</f>
        <v>1</v>
      </c>
      <c r="AA7" s="7">
        <f>IF('Item Mapping'!$E$27="right",'Raw Answers'!AA7-4,4-'Raw Answers'!AA7)</f>
        <v>1</v>
      </c>
      <c r="AB7" s="7">
        <f>IF('Item Mapping'!$E$28="right",'Raw Answers'!AB7-4,4-'Raw Answers'!AB7)</f>
        <v>1</v>
      </c>
      <c r="AC7" s="8">
        <f>IF('Item Mapping'!$E$29="right",'Raw Answers'!AC7-4,4-'Raw Answers'!AC7)</f>
        <v>2</v>
      </c>
    </row>
    <row r="8" spans="1:29">
      <c r="A8" s="6" t="s">
        <v>116</v>
      </c>
      <c r="B8" s="7" t="s">
        <v>20</v>
      </c>
      <c r="C8" s="7" t="s">
        <v>117</v>
      </c>
      <c r="D8" s="7">
        <f>IF('Item Mapping'!$E$4="right",'Raw Answers'!D8-4,4-'Raw Answers'!D8)</f>
        <v>-3</v>
      </c>
      <c r="E8" s="7">
        <f>IF('Item Mapping'!$E$5="right",'Raw Answers'!E8-4,4-'Raw Answers'!E8)</f>
        <v>-3</v>
      </c>
      <c r="F8" s="7">
        <f>IF('Item Mapping'!$E$6="right",'Raw Answers'!F8-4,4-'Raw Answers'!F8)</f>
        <v>3</v>
      </c>
      <c r="G8" s="7">
        <f>IF('Item Mapping'!$E$7="right",'Raw Answers'!G8-4,4-'Raw Answers'!G8)</f>
        <v>3</v>
      </c>
      <c r="H8" s="7">
        <f>IF('Item Mapping'!$E$8="right",'Raw Answers'!H8-4,4-'Raw Answers'!H8)</f>
        <v>3</v>
      </c>
      <c r="I8" s="7">
        <f>IF('Item Mapping'!$E$9="right",'Raw Answers'!I8-4,4-'Raw Answers'!I8)</f>
        <v>-3</v>
      </c>
      <c r="J8" s="7">
        <f>IF('Item Mapping'!$E$10="right",'Raw Answers'!J8-4,4-'Raw Answers'!J8)</f>
        <v>-3</v>
      </c>
      <c r="K8" s="7">
        <f>IF('Item Mapping'!$E$11="right",'Raw Answers'!K8-4,4-'Raw Answers'!K8)</f>
        <v>-3</v>
      </c>
      <c r="L8" s="7">
        <f>IF('Item Mapping'!$E$12="right",'Raw Answers'!L8-4,4-'Raw Answers'!L8)</f>
        <v>3</v>
      </c>
      <c r="M8" s="7">
        <f>IF('Item Mapping'!$E$13="right",'Raw Answers'!M8-4,4-'Raw Answers'!M8)</f>
        <v>3</v>
      </c>
      <c r="N8" s="7">
        <f>IF('Item Mapping'!$E$14="right",'Raw Answers'!N8-4,4-'Raw Answers'!N8)</f>
        <v>-3</v>
      </c>
      <c r="O8" s="7">
        <f>IF('Item Mapping'!$E$15="right",'Raw Answers'!O8-4,4-'Raw Answers'!O8)</f>
        <v>3</v>
      </c>
      <c r="P8" s="7">
        <f>IF('Item Mapping'!$E$16="right",'Raw Answers'!P8-4,4-'Raw Answers'!P8)</f>
        <v>-3</v>
      </c>
      <c r="Q8" s="7">
        <f>IF('Item Mapping'!$E$17="right",'Raw Answers'!Q8-4,4-'Raw Answers'!Q8)</f>
        <v>-3</v>
      </c>
      <c r="R8" s="7">
        <f>IF('Item Mapping'!$E$18="right",'Raw Answers'!R8-4,4-'Raw Answers'!R8)</f>
        <v>-3</v>
      </c>
      <c r="S8" s="7">
        <f>IF('Item Mapping'!$E$19="right",'Raw Answers'!S8-4,4-'Raw Answers'!S8)</f>
        <v>-3</v>
      </c>
      <c r="T8" s="7">
        <f>IF('Item Mapping'!$E$20="right",'Raw Answers'!T8-4,4-'Raw Answers'!T8)</f>
        <v>3</v>
      </c>
      <c r="U8" s="7">
        <f>IF('Item Mapping'!$E$21="right",'Raw Answers'!U8-4,4-'Raw Answers'!U8)</f>
        <v>3</v>
      </c>
      <c r="V8" s="7">
        <f>IF('Item Mapping'!$E$22="right",'Raw Answers'!V8-4,4-'Raw Answers'!V8)</f>
        <v>3</v>
      </c>
      <c r="W8" s="7">
        <f>IF('Item Mapping'!$E$23="right",'Raw Answers'!W8-4,4-'Raw Answers'!W8)</f>
        <v>-3</v>
      </c>
      <c r="X8" s="7">
        <f>IF('Item Mapping'!$E$24="right",'Raw Answers'!X8-4,4-'Raw Answers'!X8)</f>
        <v>3</v>
      </c>
      <c r="Y8" s="7">
        <f>IF('Item Mapping'!$E$25="right",'Raw Answers'!Y8-4,4-'Raw Answers'!Y8)</f>
        <v>-3</v>
      </c>
      <c r="Z8" s="7">
        <f>IF('Item Mapping'!$E$26="right",'Raw Answers'!Z8-4,4-'Raw Answers'!Z8)</f>
        <v>3</v>
      </c>
      <c r="AA8" s="7">
        <f>IF('Item Mapping'!$E$27="right",'Raw Answers'!AA8-4,4-'Raw Answers'!AA8)</f>
        <v>3</v>
      </c>
      <c r="AB8" s="7">
        <f>IF('Item Mapping'!$E$28="right",'Raw Answers'!AB8-4,4-'Raw Answers'!AB8)</f>
        <v>3</v>
      </c>
      <c r="AC8" s="8">
        <f>IF('Item Mapping'!$E$29="right",'Raw Answers'!AC8-4,4-'Raw Answers'!AC8)</f>
        <v>-3</v>
      </c>
    </row>
    <row r="9" spans="1:29">
      <c r="A9" s="6" t="s">
        <v>118</v>
      </c>
      <c r="B9" s="7" t="s">
        <v>21</v>
      </c>
      <c r="C9" s="7" t="s">
        <v>112</v>
      </c>
      <c r="D9" s="7">
        <f>IF('Item Mapping'!$E$4="right",'Raw Answers'!D9-4,4-'Raw Answers'!D9)</f>
        <v>3</v>
      </c>
      <c r="E9" s="7">
        <f>IF('Item Mapping'!$E$5="right",'Raw Answers'!E9-4,4-'Raw Answers'!E9)</f>
        <v>3</v>
      </c>
      <c r="F9" s="7">
        <f>IF('Item Mapping'!$E$6="right",'Raw Answers'!F9-4,4-'Raw Answers'!F9)</f>
        <v>3</v>
      </c>
      <c r="G9" s="7">
        <f>IF('Item Mapping'!$E$7="right",'Raw Answers'!G9-4,4-'Raw Answers'!G9)</f>
        <v>2</v>
      </c>
      <c r="H9" s="7">
        <f>IF('Item Mapping'!$E$8="right",'Raw Answers'!H9-4,4-'Raw Answers'!H9)</f>
        <v>3</v>
      </c>
      <c r="I9" s="7">
        <f>IF('Item Mapping'!$E$9="right",'Raw Answers'!I9-4,4-'Raw Answers'!I9)</f>
        <v>2</v>
      </c>
      <c r="J9" s="7">
        <f>IF('Item Mapping'!$E$10="right",'Raw Answers'!J9-4,4-'Raw Answers'!J9)</f>
        <v>1</v>
      </c>
      <c r="K9" s="7">
        <f>IF('Item Mapping'!$E$11="right",'Raw Answers'!K9-4,4-'Raw Answers'!K9)</f>
        <v>3</v>
      </c>
      <c r="L9" s="7">
        <f>IF('Item Mapping'!$E$12="right",'Raw Answers'!L9-4,4-'Raw Answers'!L9)</f>
        <v>3</v>
      </c>
      <c r="M9" s="7">
        <f>IF('Item Mapping'!$E$13="right",'Raw Answers'!M9-4,4-'Raw Answers'!M9)</f>
        <v>2</v>
      </c>
      <c r="N9" s="7">
        <f>IF('Item Mapping'!$E$14="right",'Raw Answers'!N9-4,4-'Raw Answers'!N9)</f>
        <v>2</v>
      </c>
      <c r="O9" s="7">
        <f>IF('Item Mapping'!$E$15="right",'Raw Answers'!O9-4,4-'Raw Answers'!O9)</f>
        <v>2</v>
      </c>
      <c r="P9" s="7">
        <f>IF('Item Mapping'!$E$16="right",'Raw Answers'!P9-4,4-'Raw Answers'!P9)</f>
        <v>1</v>
      </c>
      <c r="Q9" s="7">
        <f>IF('Item Mapping'!$E$17="right",'Raw Answers'!Q9-4,4-'Raw Answers'!Q9)</f>
        <v>1</v>
      </c>
      <c r="R9" s="7">
        <f>IF('Item Mapping'!$E$18="right",'Raw Answers'!R9-4,4-'Raw Answers'!R9)</f>
        <v>0</v>
      </c>
      <c r="S9" s="7">
        <f>IF('Item Mapping'!$E$19="right",'Raw Answers'!S9-4,4-'Raw Answers'!S9)</f>
        <v>0</v>
      </c>
      <c r="T9" s="7">
        <f>IF('Item Mapping'!$E$20="right",'Raw Answers'!T9-4,4-'Raw Answers'!T9)</f>
        <v>1</v>
      </c>
      <c r="U9" s="7">
        <f>IF('Item Mapping'!$E$21="right",'Raw Answers'!U9-4,4-'Raw Answers'!U9)</f>
        <v>0</v>
      </c>
      <c r="V9" s="7">
        <f>IF('Item Mapping'!$E$22="right",'Raw Answers'!V9-4,4-'Raw Answers'!V9)</f>
        <v>0</v>
      </c>
      <c r="W9" s="7">
        <f>IF('Item Mapping'!$E$23="right",'Raw Answers'!W9-4,4-'Raw Answers'!W9)</f>
        <v>2</v>
      </c>
      <c r="X9" s="7">
        <f>IF('Item Mapping'!$E$24="right",'Raw Answers'!X9-4,4-'Raw Answers'!X9)</f>
        <v>0</v>
      </c>
      <c r="Y9" s="7">
        <f>IF('Item Mapping'!$E$25="right",'Raw Answers'!Y9-4,4-'Raw Answers'!Y9)</f>
        <v>1</v>
      </c>
      <c r="Z9" s="7">
        <f>IF('Item Mapping'!$E$26="right",'Raw Answers'!Z9-4,4-'Raw Answers'!Z9)</f>
        <v>0</v>
      </c>
      <c r="AA9" s="7">
        <f>IF('Item Mapping'!$E$27="right",'Raw Answers'!AA9-4,4-'Raw Answers'!AA9)</f>
        <v>2</v>
      </c>
      <c r="AB9" s="7">
        <f>IF('Item Mapping'!$E$28="right",'Raw Answers'!AB9-4,4-'Raw Answers'!AB9)</f>
        <v>1</v>
      </c>
      <c r="AC9" s="8">
        <f>IF('Item Mapping'!$E$29="right",'Raw Answers'!AC9-4,4-'Raw Answers'!AC9)</f>
        <v>0</v>
      </c>
    </row>
    <row r="10" spans="1:29">
      <c r="A10" s="6" t="s">
        <v>119</v>
      </c>
      <c r="B10" s="7" t="s">
        <v>21</v>
      </c>
      <c r="C10" s="7" t="s">
        <v>112</v>
      </c>
      <c r="D10" s="7">
        <f>IF('Item Mapping'!$E$4="right",'Raw Answers'!D10-4,4-'Raw Answers'!D10)</f>
        <v>-1</v>
      </c>
      <c r="E10" s="7">
        <f>IF('Item Mapping'!$E$5="right",'Raw Answers'!E10-4,4-'Raw Answers'!E10)</f>
        <v>1</v>
      </c>
      <c r="F10" s="7">
        <f>IF('Item Mapping'!$E$6="right",'Raw Answers'!F10-4,4-'Raw Answers'!F10)</f>
        <v>0</v>
      </c>
      <c r="G10" s="7">
        <f>IF('Item Mapping'!$E$7="right",'Raw Answers'!G10-4,4-'Raw Answers'!G10)</f>
        <v>-1</v>
      </c>
      <c r="H10" s="7">
        <f>IF('Item Mapping'!$E$8="right",'Raw Answers'!H10-4,4-'Raw Answers'!H10)</f>
        <v>1</v>
      </c>
      <c r="I10" s="7">
        <f>IF('Item Mapping'!$E$9="right",'Raw Answers'!I10-4,4-'Raw Answers'!I10)</f>
        <v>-1</v>
      </c>
      <c r="J10" s="7">
        <f>IF('Item Mapping'!$E$10="right",'Raw Answers'!J10-4,4-'Raw Answers'!J10)</f>
        <v>2</v>
      </c>
      <c r="K10" s="7">
        <f>IF('Item Mapping'!$E$11="right",'Raw Answers'!K10-4,4-'Raw Answers'!K10)</f>
        <v>-1</v>
      </c>
      <c r="L10" s="7">
        <f>IF('Item Mapping'!$E$12="right",'Raw Answers'!L10-4,4-'Raw Answers'!L10)</f>
        <v>1</v>
      </c>
      <c r="M10" s="7">
        <f>IF('Item Mapping'!$E$13="right",'Raw Answers'!M10-4,4-'Raw Answers'!M10)</f>
        <v>-2</v>
      </c>
      <c r="N10" s="7">
        <f>IF('Item Mapping'!$E$14="right",'Raw Answers'!N10-4,4-'Raw Answers'!N10)</f>
        <v>-2</v>
      </c>
      <c r="O10" s="7">
        <f>IF('Item Mapping'!$E$15="right",'Raw Answers'!O10-4,4-'Raw Answers'!O10)</f>
        <v>-1</v>
      </c>
      <c r="P10" s="7">
        <f>IF('Item Mapping'!$E$16="right",'Raw Answers'!P10-4,4-'Raw Answers'!P10)</f>
        <v>2</v>
      </c>
      <c r="Q10" s="7">
        <f>IF('Item Mapping'!$E$17="right",'Raw Answers'!Q10-4,4-'Raw Answers'!Q10)</f>
        <v>1</v>
      </c>
      <c r="R10" s="7">
        <f>IF('Item Mapping'!$E$18="right",'Raw Answers'!R10-4,4-'Raw Answers'!R10)</f>
        <v>1</v>
      </c>
      <c r="S10" s="7">
        <f>IF('Item Mapping'!$E$19="right",'Raw Answers'!S10-4,4-'Raw Answers'!S10)</f>
        <v>0</v>
      </c>
      <c r="T10" s="7">
        <f>IF('Item Mapping'!$E$20="right",'Raw Answers'!T10-4,4-'Raw Answers'!T10)</f>
        <v>1</v>
      </c>
      <c r="U10" s="7">
        <f>IF('Item Mapping'!$E$21="right",'Raw Answers'!U10-4,4-'Raw Answers'!U10)</f>
        <v>1</v>
      </c>
      <c r="V10" s="7">
        <f>IF('Item Mapping'!$E$22="right",'Raw Answers'!V10-4,4-'Raw Answers'!V10)</f>
        <v>0</v>
      </c>
      <c r="W10" s="7">
        <f>IF('Item Mapping'!$E$23="right",'Raw Answers'!W10-4,4-'Raw Answers'!W10)</f>
        <v>-2</v>
      </c>
      <c r="X10" s="7">
        <f>IF('Item Mapping'!$E$24="right",'Raw Answers'!X10-4,4-'Raw Answers'!X10)</f>
        <v>1</v>
      </c>
      <c r="Y10" s="7">
        <f>IF('Item Mapping'!$E$25="right",'Raw Answers'!Y10-4,4-'Raw Answers'!Y10)</f>
        <v>1</v>
      </c>
      <c r="Z10" s="7">
        <f>IF('Item Mapping'!$E$26="right",'Raw Answers'!Z10-4,4-'Raw Answers'!Z10)</f>
        <v>0</v>
      </c>
      <c r="AA10" s="7">
        <f>IF('Item Mapping'!$E$27="right",'Raw Answers'!AA10-4,4-'Raw Answers'!AA10)</f>
        <v>-1</v>
      </c>
      <c r="AB10" s="7">
        <f>IF('Item Mapping'!$E$28="right",'Raw Answers'!AB10-4,4-'Raw Answers'!AB10)</f>
        <v>0</v>
      </c>
      <c r="AC10" s="8">
        <f>IF('Item Mapping'!$E$29="right",'Raw Answers'!AC10-4,4-'Raw Answers'!AC10)</f>
        <v>0</v>
      </c>
    </row>
    <row r="11" spans="1:29">
      <c r="A11" s="6" t="s">
        <v>120</v>
      </c>
      <c r="B11" s="7" t="s">
        <v>21</v>
      </c>
      <c r="C11" s="7" t="s">
        <v>112</v>
      </c>
      <c r="D11" s="7">
        <f>IF('Item Mapping'!$E$4="right",'Raw Answers'!D11-4,4-'Raw Answers'!D11)</f>
        <v>-1</v>
      </c>
      <c r="E11" s="7">
        <f>IF('Item Mapping'!$E$5="right",'Raw Answers'!E11-4,4-'Raw Answers'!E11)</f>
        <v>-1</v>
      </c>
      <c r="F11" s="7">
        <f>IF('Item Mapping'!$E$6="right",'Raw Answers'!F11-4,4-'Raw Answers'!F11)</f>
        <v>-1</v>
      </c>
      <c r="G11" s="7">
        <f>IF('Item Mapping'!$E$7="right",'Raw Answers'!G11-4,4-'Raw Answers'!G11)</f>
        <v>1</v>
      </c>
      <c r="H11" s="7">
        <f>IF('Item Mapping'!$E$8="right",'Raw Answers'!H11-4,4-'Raw Answers'!H11)</f>
        <v>-1</v>
      </c>
      <c r="I11" s="7">
        <f>IF('Item Mapping'!$E$9="right",'Raw Answers'!I11-4,4-'Raw Answers'!I11)</f>
        <v>1</v>
      </c>
      <c r="J11" s="7">
        <f>IF('Item Mapping'!$E$10="right",'Raw Answers'!J11-4,4-'Raw Answers'!J11)</f>
        <v>0</v>
      </c>
      <c r="K11" s="7">
        <f>IF('Item Mapping'!$E$11="right",'Raw Answers'!K11-4,4-'Raw Answers'!K11)</f>
        <v>-1</v>
      </c>
      <c r="L11" s="7">
        <f>IF('Item Mapping'!$E$12="right",'Raw Answers'!L11-4,4-'Raw Answers'!L11)</f>
        <v>-1</v>
      </c>
      <c r="M11" s="7">
        <f>IF('Item Mapping'!$E$13="right",'Raw Answers'!M11-4,4-'Raw Answers'!M11)</f>
        <v>1</v>
      </c>
      <c r="N11" s="7">
        <f>IF('Item Mapping'!$E$14="right",'Raw Answers'!N11-4,4-'Raw Answers'!N11)</f>
        <v>0</v>
      </c>
      <c r="O11" s="7">
        <f>IF('Item Mapping'!$E$15="right",'Raw Answers'!O11-4,4-'Raw Answers'!O11)</f>
        <v>1</v>
      </c>
      <c r="P11" s="7">
        <f>IF('Item Mapping'!$E$16="right",'Raw Answers'!P11-4,4-'Raw Answers'!P11)</f>
        <v>0</v>
      </c>
      <c r="Q11" s="7">
        <f>IF('Item Mapping'!$E$17="right",'Raw Answers'!Q11-4,4-'Raw Answers'!Q11)</f>
        <v>-1</v>
      </c>
      <c r="R11" s="7">
        <f>IF('Item Mapping'!$E$18="right",'Raw Answers'!R11-4,4-'Raw Answers'!R11)</f>
        <v>0</v>
      </c>
      <c r="S11" s="7">
        <f>IF('Item Mapping'!$E$19="right",'Raw Answers'!S11-4,4-'Raw Answers'!S11)</f>
        <v>1</v>
      </c>
      <c r="T11" s="7">
        <f>IF('Item Mapping'!$E$20="right",'Raw Answers'!T11-4,4-'Raw Answers'!T11)</f>
        <v>-1</v>
      </c>
      <c r="U11" s="7">
        <f>IF('Item Mapping'!$E$21="right",'Raw Answers'!U11-4,4-'Raw Answers'!U11)</f>
        <v>1</v>
      </c>
      <c r="V11" s="7">
        <f>IF('Item Mapping'!$E$22="right",'Raw Answers'!V11-4,4-'Raw Answers'!V11)</f>
        <v>0</v>
      </c>
      <c r="W11" s="7">
        <f>IF('Item Mapping'!$E$23="right",'Raw Answers'!W11-4,4-'Raw Answers'!W11)</f>
        <v>1</v>
      </c>
      <c r="X11" s="7">
        <f>IF('Item Mapping'!$E$24="right",'Raw Answers'!X11-4,4-'Raw Answers'!X11)</f>
        <v>1</v>
      </c>
      <c r="Y11" s="7">
        <f>IF('Item Mapping'!$E$25="right",'Raw Answers'!Y11-4,4-'Raw Answers'!Y11)</f>
        <v>0</v>
      </c>
      <c r="Z11" s="7">
        <f>IF('Item Mapping'!$E$26="right",'Raw Answers'!Z11-4,4-'Raw Answers'!Z11)</f>
        <v>1</v>
      </c>
      <c r="AA11" s="7">
        <f>IF('Item Mapping'!$E$27="right",'Raw Answers'!AA11-4,4-'Raw Answers'!AA11)</f>
        <v>0</v>
      </c>
      <c r="AB11" s="7">
        <f>IF('Item Mapping'!$E$28="right",'Raw Answers'!AB11-4,4-'Raw Answers'!AB11)</f>
        <v>-1</v>
      </c>
      <c r="AC11" s="8">
        <f>IF('Item Mapping'!$E$29="right",'Raw Answers'!AC11-4,4-'Raw Answers'!AC11)</f>
        <v>1</v>
      </c>
    </row>
    <row r="12" spans="1:29">
      <c r="A12" s="6" t="s">
        <v>121</v>
      </c>
      <c r="B12" s="7" t="s">
        <v>21</v>
      </c>
      <c r="C12" s="7" t="s">
        <v>112</v>
      </c>
      <c r="D12" s="7">
        <f>IF('Item Mapping'!$E$4="right",'Raw Answers'!D12-4,4-'Raw Answers'!D12)</f>
        <v>0</v>
      </c>
      <c r="E12" s="7">
        <f>IF('Item Mapping'!$E$5="right",'Raw Answers'!E12-4,4-'Raw Answers'!E12)</f>
        <v>0</v>
      </c>
      <c r="F12" s="7">
        <f>IF('Item Mapping'!$E$6="right",'Raw Answers'!F12-4,4-'Raw Answers'!F12)</f>
        <v>0</v>
      </c>
      <c r="G12" s="7">
        <f>IF('Item Mapping'!$E$7="right",'Raw Answers'!G12-4,4-'Raw Answers'!G12)</f>
        <v>1</v>
      </c>
      <c r="H12" s="7">
        <f>IF('Item Mapping'!$E$8="right",'Raw Answers'!H12-4,4-'Raw Answers'!H12)</f>
        <v>0</v>
      </c>
      <c r="I12" s="7">
        <f>IF('Item Mapping'!$E$9="right",'Raw Answers'!I12-4,4-'Raw Answers'!I12)</f>
        <v>1</v>
      </c>
      <c r="J12" s="7">
        <f>IF('Item Mapping'!$E$10="right",'Raw Answers'!J12-4,4-'Raw Answers'!J12)</f>
        <v>0</v>
      </c>
      <c r="K12" s="7">
        <f>IF('Item Mapping'!$E$11="right",'Raw Answers'!K12-4,4-'Raw Answers'!K12)</f>
        <v>0</v>
      </c>
      <c r="L12" s="7">
        <f>IF('Item Mapping'!$E$12="right",'Raw Answers'!L12-4,4-'Raw Answers'!L12)</f>
        <v>0</v>
      </c>
      <c r="M12" s="7">
        <f>IF('Item Mapping'!$E$13="right",'Raw Answers'!M12-4,4-'Raw Answers'!M12)</f>
        <v>1</v>
      </c>
      <c r="N12" s="7">
        <f>IF('Item Mapping'!$E$14="right",'Raw Answers'!N12-4,4-'Raw Answers'!N12)</f>
        <v>0</v>
      </c>
      <c r="O12" s="7">
        <f>IF('Item Mapping'!$E$15="right",'Raw Answers'!O12-4,4-'Raw Answers'!O12)</f>
        <v>0</v>
      </c>
      <c r="P12" s="7">
        <f>IF('Item Mapping'!$E$16="right",'Raw Answers'!P12-4,4-'Raw Answers'!P12)</f>
        <v>0</v>
      </c>
      <c r="Q12" s="7">
        <f>IF('Item Mapping'!$E$17="right",'Raw Answers'!Q12-4,4-'Raw Answers'!Q12)</f>
        <v>0</v>
      </c>
      <c r="R12" s="7">
        <f>IF('Item Mapping'!$E$18="right",'Raw Answers'!R12-4,4-'Raw Answers'!R12)</f>
        <v>0</v>
      </c>
      <c r="S12" s="7">
        <f>IF('Item Mapping'!$E$19="right",'Raw Answers'!S12-4,4-'Raw Answers'!S12)</f>
        <v>1</v>
      </c>
      <c r="T12" s="7">
        <f>IF('Item Mapping'!$E$20="right",'Raw Answers'!T12-4,4-'Raw Answers'!T12)</f>
        <v>0</v>
      </c>
      <c r="U12" s="7">
        <f>IF('Item Mapping'!$E$21="right",'Raw Answers'!U12-4,4-'Raw Answers'!U12)</f>
        <v>1</v>
      </c>
      <c r="V12" s="7">
        <f>IF('Item Mapping'!$E$22="right",'Raw Answers'!V12-4,4-'Raw Answers'!V12)</f>
        <v>1</v>
      </c>
      <c r="W12" s="7">
        <f>IF('Item Mapping'!$E$23="right",'Raw Answers'!W12-4,4-'Raw Answers'!W12)</f>
        <v>1</v>
      </c>
      <c r="X12" s="7">
        <f>IF('Item Mapping'!$E$24="right",'Raw Answers'!X12-4,4-'Raw Answers'!X12)</f>
        <v>0</v>
      </c>
      <c r="Y12" s="7">
        <f>IF('Item Mapping'!$E$25="right",'Raw Answers'!Y12-4,4-'Raw Answers'!Y12)</f>
        <v>0</v>
      </c>
      <c r="Z12" s="7">
        <f>IF('Item Mapping'!$E$26="right",'Raw Answers'!Z12-4,4-'Raw Answers'!Z12)</f>
        <v>1</v>
      </c>
      <c r="AA12" s="7">
        <f>IF('Item Mapping'!$E$27="right",'Raw Answers'!AA12-4,4-'Raw Answers'!AA12)</f>
        <v>1</v>
      </c>
      <c r="AB12" s="7">
        <f>IF('Item Mapping'!$E$28="right",'Raw Answers'!AB12-4,4-'Raw Answers'!AB12)</f>
        <v>1</v>
      </c>
      <c r="AC12" s="8">
        <f>IF('Item Mapping'!$E$29="right",'Raw Answers'!AC12-4,4-'Raw Answers'!AC12)</f>
        <v>1</v>
      </c>
    </row>
    <row r="13" spans="1:29">
      <c r="A13" s="9" t="s">
        <v>122</v>
      </c>
      <c r="B13" s="10" t="s">
        <v>21</v>
      </c>
      <c r="C13" s="10" t="s">
        <v>117</v>
      </c>
      <c r="D13" s="10">
        <f>IF('Item Mapping'!$E$4="right",'Raw Answers'!D13-4,4-'Raw Answers'!D13)</f>
        <v>-3</v>
      </c>
      <c r="E13" s="10">
        <f>IF('Item Mapping'!$E$5="right",'Raw Answers'!E13-4,4-'Raw Answers'!E13)</f>
        <v>-3</v>
      </c>
      <c r="F13" s="10">
        <f>IF('Item Mapping'!$E$6="right",'Raw Answers'!F13-4,4-'Raw Answers'!F13)</f>
        <v>3</v>
      </c>
      <c r="G13" s="10">
        <f>IF('Item Mapping'!$E$7="right",'Raw Answers'!G13-4,4-'Raw Answers'!G13)</f>
        <v>3</v>
      </c>
      <c r="H13" s="10">
        <f>IF('Item Mapping'!$E$8="right",'Raw Answers'!H13-4,4-'Raw Answers'!H13)</f>
        <v>3</v>
      </c>
      <c r="I13" s="10">
        <f>IF('Item Mapping'!$E$9="right",'Raw Answers'!I13-4,4-'Raw Answers'!I13)</f>
        <v>-3</v>
      </c>
      <c r="J13" s="10">
        <f>IF('Item Mapping'!$E$10="right",'Raw Answers'!J13-4,4-'Raw Answers'!J13)</f>
        <v>-3</v>
      </c>
      <c r="K13" s="10">
        <f>IF('Item Mapping'!$E$11="right",'Raw Answers'!K13-4,4-'Raw Answers'!K13)</f>
        <v>-3</v>
      </c>
      <c r="L13" s="10">
        <f>IF('Item Mapping'!$E$12="right",'Raw Answers'!L13-4,4-'Raw Answers'!L13)</f>
        <v>3</v>
      </c>
      <c r="M13" s="10">
        <f>IF('Item Mapping'!$E$13="right",'Raw Answers'!M13-4,4-'Raw Answers'!M13)</f>
        <v>3</v>
      </c>
      <c r="N13" s="10">
        <f>IF('Item Mapping'!$E$14="right",'Raw Answers'!N13-4,4-'Raw Answers'!N13)</f>
        <v>-3</v>
      </c>
      <c r="O13" s="10">
        <f>IF('Item Mapping'!$E$15="right",'Raw Answers'!O13-4,4-'Raw Answers'!O13)</f>
        <v>3</v>
      </c>
      <c r="P13" s="10">
        <f>IF('Item Mapping'!$E$16="right",'Raw Answers'!P13-4,4-'Raw Answers'!P13)</f>
        <v>-3</v>
      </c>
      <c r="Q13" s="10">
        <f>IF('Item Mapping'!$E$17="right",'Raw Answers'!Q13-4,4-'Raw Answers'!Q13)</f>
        <v>-3</v>
      </c>
      <c r="R13" s="10">
        <f>IF('Item Mapping'!$E$18="right",'Raw Answers'!R13-4,4-'Raw Answers'!R13)</f>
        <v>-3</v>
      </c>
      <c r="S13" s="10">
        <f>IF('Item Mapping'!$E$19="right",'Raw Answers'!S13-4,4-'Raw Answers'!S13)</f>
        <v>-3</v>
      </c>
      <c r="T13" s="10">
        <f>IF('Item Mapping'!$E$20="right",'Raw Answers'!T13-4,4-'Raw Answers'!T13)</f>
        <v>3</v>
      </c>
      <c r="U13" s="10">
        <f>IF('Item Mapping'!$E$21="right",'Raw Answers'!U13-4,4-'Raw Answers'!U13)</f>
        <v>3</v>
      </c>
      <c r="V13" s="10">
        <f>IF('Item Mapping'!$E$22="right",'Raw Answers'!V13-4,4-'Raw Answers'!V13)</f>
        <v>3</v>
      </c>
      <c r="W13" s="10">
        <f>IF('Item Mapping'!$E$23="right",'Raw Answers'!W13-4,4-'Raw Answers'!W13)</f>
        <v>-3</v>
      </c>
      <c r="X13" s="10">
        <f>IF('Item Mapping'!$E$24="right",'Raw Answers'!X13-4,4-'Raw Answers'!X13)</f>
        <v>3</v>
      </c>
      <c r="Y13" s="10">
        <f>IF('Item Mapping'!$E$25="right",'Raw Answers'!Y13-4,4-'Raw Answers'!Y13)</f>
        <v>-3</v>
      </c>
      <c r="Z13" s="10">
        <f>IF('Item Mapping'!$E$26="right",'Raw Answers'!Z13-4,4-'Raw Answers'!Z13)</f>
        <v>3</v>
      </c>
      <c r="AA13" s="10">
        <f>IF('Item Mapping'!$E$27="right",'Raw Answers'!AA13-4,4-'Raw Answers'!AA13)</f>
        <v>3</v>
      </c>
      <c r="AB13" s="10">
        <f>IF('Item Mapping'!$E$28="right",'Raw Answers'!AB13-4,4-'Raw Answers'!AB13)</f>
        <v>3</v>
      </c>
      <c r="AC13" s="11">
        <f>IF('Item Mapping'!$E$29="right",'Raw Answers'!AC13-4,4-'Raw Answers'!AC13)</f>
        <v>-3</v>
      </c>
    </row>
  </sheetData>
  <mergeCells>
    <mergeCell ref="A1:AC1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J15"/>
  <sheetViews>
    <sheetView tabSelected="0" workbookViewId="0" showGridLines="false" showRowColHeaders="1">
      <selection activeCell="A1" sqref="A1"/>
    </sheetView>
  </sheetViews>
  <sheetFormatPr defaultRowHeight="14.4" outlineLevelRow="0" outlineLevelCol="0"/>
  <cols>
    <col min="1" max="1" width="19" customWidth="true" style="0"/>
    <col min="2" max="2" width="19" customWidth="true" style="0"/>
    <col min="3" max="3" width="19" customWidth="true" style="0"/>
    <col min="4" max="4" width="19" customWidth="true" style="0"/>
    <col min="5" max="5" width="19" customWidth="true" style="0"/>
    <col min="6" max="6" width="19" customWidth="true" style="0"/>
    <col min="7" max="7" width="19" customWidth="true" style="0"/>
    <col min="8" max="8" width="19" customWidth="true" style="0"/>
    <col min="9" max="9" width="19" customWidth="true" style="0"/>
    <col min="10" max="10" width="19" customWidth="true" style="0"/>
  </cols>
  <sheetData>
    <row r="1" spans="1:10">
      <c r="A1" s="1" t="s">
        <v>124</v>
      </c>
      <c r="B1" s="1"/>
      <c r="C1" s="1"/>
      <c r="D1" s="1"/>
      <c r="E1" s="1"/>
      <c r="F1" s="1"/>
      <c r="G1" s="1"/>
      <c r="H1" s="1"/>
      <c r="I1" s="1"/>
      <c r="J1" s="1"/>
    </row>
    <row r="3" spans="1:10">
      <c r="A3" s="3" t="s">
        <v>10</v>
      </c>
      <c r="B3" s="4" t="s">
        <v>11</v>
      </c>
      <c r="C3" s="4" t="s">
        <v>125</v>
      </c>
      <c r="D3" s="4" t="s">
        <v>126</v>
      </c>
      <c r="E3" s="4" t="s">
        <v>127</v>
      </c>
      <c r="F3" s="4" t="s">
        <v>128</v>
      </c>
      <c r="G3" s="4" t="s">
        <v>129</v>
      </c>
      <c r="H3" s="4" t="s">
        <v>130</v>
      </c>
      <c r="I3" s="4" t="s">
        <v>131</v>
      </c>
      <c r="J3" s="5" t="s">
        <v>132</v>
      </c>
    </row>
    <row r="4" spans="1:10">
      <c r="A4" s="6" t="s">
        <v>20</v>
      </c>
      <c r="B4" s="7" t="s">
        <v>3</v>
      </c>
      <c r="C4" s="12">
        <f>AVERAGE('Transformed Scores'!D4,'Transformed Scores'!O4,'Transformed Scores'!Q4,'Transformed Scores'!S4,'Transformed Scores'!AA4,'Transformed Scores'!AB4)</f>
        <v>1.66666666666667</v>
      </c>
      <c r="D4" s="12">
        <f>AVERAGE('Transformed Scores'!D5,'Transformed Scores'!O5,'Transformed Scores'!Q5,'Transformed Scores'!S5,'Transformed Scores'!AA5,'Transformed Scores'!AB5)</f>
        <v>1</v>
      </c>
      <c r="E4" s="12">
        <f>AVERAGE('Transformed Scores'!D6,'Transformed Scores'!O6,'Transformed Scores'!Q6,'Transformed Scores'!S6,'Transformed Scores'!AA6,'Transformed Scores'!AB6)</f>
        <v>0.66666666666667</v>
      </c>
      <c r="F4" s="12">
        <f>AVERAGE('Transformed Scores'!D7,'Transformed Scores'!O7,'Transformed Scores'!Q7,'Transformed Scores'!S7,'Transformed Scores'!AA7,'Transformed Scores'!AB7)</f>
        <v>0.66666666666667</v>
      </c>
      <c r="G4" s="12">
        <f>SUM('Transformed Scores'!D4,'Transformed Scores'!O4,'Transformed Scores'!Q4,'Transformed Scores'!S4,'Transformed Scores'!AA4,'Transformed Scores'!AB4)</f>
        <v>10</v>
      </c>
      <c r="H4" s="12">
        <f>SUM('Transformed Scores'!D5,'Transformed Scores'!O5,'Transformed Scores'!Q5,'Transformed Scores'!S5,'Transformed Scores'!AA5,'Transformed Scores'!AB5)</f>
        <v>6</v>
      </c>
      <c r="I4" s="12">
        <f>SUM('Transformed Scores'!D6,'Transformed Scores'!O6,'Transformed Scores'!Q6,'Transformed Scores'!S6,'Transformed Scores'!AA6,'Transformed Scores'!AB6)</f>
        <v>4</v>
      </c>
      <c r="J4" s="13">
        <f>SUM('Transformed Scores'!D7,'Transformed Scores'!O7,'Transformed Scores'!Q7,'Transformed Scores'!S7,'Transformed Scores'!AA7,'Transformed Scores'!AB7)</f>
        <v>4</v>
      </c>
    </row>
    <row r="5" spans="1:10">
      <c r="A5" s="6" t="s">
        <v>20</v>
      </c>
      <c r="B5" s="7" t="s">
        <v>4</v>
      </c>
      <c r="C5" s="12">
        <f>AVERAGE('Transformed Scores'!E4,'Transformed Scores'!G4,'Transformed Scores'!P4,'Transformed Scores'!X4)</f>
        <v>1.25</v>
      </c>
      <c r="D5" s="12">
        <f>AVERAGE('Transformed Scores'!E5,'Transformed Scores'!G5,'Transformed Scores'!P5,'Transformed Scores'!X5)</f>
        <v>1.5</v>
      </c>
      <c r="E5" s="12">
        <f>AVERAGE('Transformed Scores'!E6,'Transformed Scores'!G6,'Transformed Scores'!P6,'Transformed Scores'!X6)</f>
        <v>1.25</v>
      </c>
      <c r="F5" s="12">
        <f>AVERAGE('Transformed Scores'!E7,'Transformed Scores'!G7,'Transformed Scores'!P7,'Transformed Scores'!X7)</f>
        <v>0.5</v>
      </c>
      <c r="G5" s="12">
        <f>SUM('Transformed Scores'!E4,'Transformed Scores'!G4,'Transformed Scores'!P4,'Transformed Scores'!X4)</f>
        <v>5</v>
      </c>
      <c r="H5" s="12">
        <f>SUM('Transformed Scores'!E5,'Transformed Scores'!G5,'Transformed Scores'!P5,'Transformed Scores'!X5)</f>
        <v>6</v>
      </c>
      <c r="I5" s="12">
        <f>SUM('Transformed Scores'!E6,'Transformed Scores'!G6,'Transformed Scores'!P6,'Transformed Scores'!X6)</f>
        <v>5</v>
      </c>
      <c r="J5" s="13">
        <f>SUM('Transformed Scores'!E7,'Transformed Scores'!G7,'Transformed Scores'!P7,'Transformed Scores'!X7)</f>
        <v>2</v>
      </c>
    </row>
    <row r="6" spans="1:10">
      <c r="A6" s="6" t="s">
        <v>20</v>
      </c>
      <c r="B6" s="7" t="s">
        <v>5</v>
      </c>
      <c r="C6" s="12">
        <f>AVERAGE('Transformed Scores'!L4,'Transformed Scores'!W4,'Transformed Scores'!Y4,'Transformed Scores'!Z4)</f>
        <v>1.25</v>
      </c>
      <c r="D6" s="12">
        <f>AVERAGE('Transformed Scores'!L5,'Transformed Scores'!W5,'Transformed Scores'!Y5,'Transformed Scores'!Z5)</f>
        <v>0.75</v>
      </c>
      <c r="E6" s="12">
        <f>AVERAGE('Transformed Scores'!L6,'Transformed Scores'!W6,'Transformed Scores'!Y6,'Transformed Scores'!Z6)</f>
        <v>1</v>
      </c>
      <c r="F6" s="12">
        <f>AVERAGE('Transformed Scores'!L7,'Transformed Scores'!W7,'Transformed Scores'!Y7,'Transformed Scores'!Z7)</f>
        <v>0.5</v>
      </c>
      <c r="G6" s="12">
        <f>SUM('Transformed Scores'!L4,'Transformed Scores'!W4,'Transformed Scores'!Y4,'Transformed Scores'!Z4)</f>
        <v>5</v>
      </c>
      <c r="H6" s="12">
        <f>SUM('Transformed Scores'!L5,'Transformed Scores'!W5,'Transformed Scores'!Y5,'Transformed Scores'!Z5)</f>
        <v>3</v>
      </c>
      <c r="I6" s="12">
        <f>SUM('Transformed Scores'!L6,'Transformed Scores'!W6,'Transformed Scores'!Y6,'Transformed Scores'!Z6)</f>
        <v>4</v>
      </c>
      <c r="J6" s="13">
        <f>SUM('Transformed Scores'!L7,'Transformed Scores'!W7,'Transformed Scores'!Y7,'Transformed Scores'!Z7)</f>
        <v>2</v>
      </c>
    </row>
    <row r="7" spans="1:10">
      <c r="A7" s="6" t="s">
        <v>20</v>
      </c>
      <c r="B7" s="7" t="s">
        <v>6</v>
      </c>
      <c r="C7" s="12">
        <f>AVERAGE('Transformed Scores'!K4,'Transformed Scores'!N4,'Transformed Scores'!T4,'Transformed Scores'!V4)</f>
        <v>1.25</v>
      </c>
      <c r="D7" s="12">
        <f>AVERAGE('Transformed Scores'!K5,'Transformed Scores'!N5,'Transformed Scores'!T5,'Transformed Scores'!V5)</f>
        <v>0.75</v>
      </c>
      <c r="E7" s="12">
        <f>AVERAGE('Transformed Scores'!K6,'Transformed Scores'!N6,'Transformed Scores'!T6,'Transformed Scores'!V6)</f>
        <v>0.25</v>
      </c>
      <c r="F7" s="12">
        <f>AVERAGE('Transformed Scores'!K7,'Transformed Scores'!N7,'Transformed Scores'!T7,'Transformed Scores'!V7)</f>
        <v>0.5</v>
      </c>
      <c r="G7" s="12">
        <f>SUM('Transformed Scores'!K4,'Transformed Scores'!N4,'Transformed Scores'!T4,'Transformed Scores'!V4)</f>
        <v>5</v>
      </c>
      <c r="H7" s="12">
        <f>SUM('Transformed Scores'!K5,'Transformed Scores'!N5,'Transformed Scores'!T5,'Transformed Scores'!V5)</f>
        <v>3</v>
      </c>
      <c r="I7" s="12">
        <f>SUM('Transformed Scores'!K6,'Transformed Scores'!N6,'Transformed Scores'!T6,'Transformed Scores'!V6)</f>
        <v>1</v>
      </c>
      <c r="J7" s="13">
        <f>SUM('Transformed Scores'!K7,'Transformed Scores'!N7,'Transformed Scores'!T7,'Transformed Scores'!V7)</f>
        <v>2</v>
      </c>
    </row>
    <row r="8" spans="1:10">
      <c r="A8" s="6" t="s">
        <v>20</v>
      </c>
      <c r="B8" s="7" t="s">
        <v>7</v>
      </c>
      <c r="C8" s="12">
        <f>AVERAGE('Transformed Scores'!H4,'Transformed Scores'!I4,'Transformed Scores'!J4,'Transformed Scores'!U4)</f>
        <v>1.5</v>
      </c>
      <c r="D8" s="12">
        <f>AVERAGE('Transformed Scores'!H5,'Transformed Scores'!I5,'Transformed Scores'!J5,'Transformed Scores'!U5)</f>
        <v>1.75</v>
      </c>
      <c r="E8" s="12">
        <f>AVERAGE('Transformed Scores'!H6,'Transformed Scores'!I6,'Transformed Scores'!J6,'Transformed Scores'!U6)</f>
        <v>1.25</v>
      </c>
      <c r="F8" s="12">
        <f>AVERAGE('Transformed Scores'!H7,'Transformed Scores'!I7,'Transformed Scores'!J7,'Transformed Scores'!U7)</f>
        <v>0.5</v>
      </c>
      <c r="G8" s="12">
        <f>SUM('Transformed Scores'!H4,'Transformed Scores'!I4,'Transformed Scores'!J4,'Transformed Scores'!U4)</f>
        <v>6</v>
      </c>
      <c r="H8" s="12">
        <f>SUM('Transformed Scores'!H5,'Transformed Scores'!I5,'Transformed Scores'!J5,'Transformed Scores'!U5)</f>
        <v>7</v>
      </c>
      <c r="I8" s="12">
        <f>SUM('Transformed Scores'!H6,'Transformed Scores'!I6,'Transformed Scores'!J6,'Transformed Scores'!U6)</f>
        <v>5</v>
      </c>
      <c r="J8" s="13">
        <f>SUM('Transformed Scores'!H7,'Transformed Scores'!I7,'Transformed Scores'!J7,'Transformed Scores'!U7)</f>
        <v>2</v>
      </c>
    </row>
    <row r="9" spans="1:10">
      <c r="A9" s="6" t="s">
        <v>20</v>
      </c>
      <c r="B9" s="7" t="s">
        <v>8</v>
      </c>
      <c r="C9" s="12">
        <f>AVERAGE('Transformed Scores'!F4,'Transformed Scores'!M4,'Transformed Scores'!R4,'Transformed Scores'!AC4)</f>
        <v>1.5</v>
      </c>
      <c r="D9" s="12">
        <f>AVERAGE('Transformed Scores'!F5,'Transformed Scores'!M5,'Transformed Scores'!R5,'Transformed Scores'!AC5)</f>
        <v>1</v>
      </c>
      <c r="E9" s="12">
        <f>AVERAGE('Transformed Scores'!F6,'Transformed Scores'!M6,'Transformed Scores'!R6,'Transformed Scores'!AC6)</f>
        <v>1</v>
      </c>
      <c r="F9" s="12">
        <f>AVERAGE('Transformed Scores'!F7,'Transformed Scores'!M7,'Transformed Scores'!R7,'Transformed Scores'!AC7)</f>
        <v>0.75</v>
      </c>
      <c r="G9" s="12">
        <f>SUM('Transformed Scores'!F4,'Transformed Scores'!M4,'Transformed Scores'!R4,'Transformed Scores'!AC4)</f>
        <v>6</v>
      </c>
      <c r="H9" s="12">
        <f>SUM('Transformed Scores'!F5,'Transformed Scores'!M5,'Transformed Scores'!R5,'Transformed Scores'!AC5)</f>
        <v>4</v>
      </c>
      <c r="I9" s="12">
        <f>SUM('Transformed Scores'!F6,'Transformed Scores'!M6,'Transformed Scores'!R6,'Transformed Scores'!AC6)</f>
        <v>4</v>
      </c>
      <c r="J9" s="13">
        <f>SUM('Transformed Scores'!F7,'Transformed Scores'!M7,'Transformed Scores'!R7,'Transformed Scores'!AC7)</f>
        <v>3</v>
      </c>
    </row>
    <row r="10" spans="1:10">
      <c r="A10" s="6" t="s">
        <v>21</v>
      </c>
      <c r="B10" s="7" t="s">
        <v>3</v>
      </c>
      <c r="C10" s="12">
        <f>AVERAGE('Transformed Scores'!D9,'Transformed Scores'!O9,'Transformed Scores'!Q9,'Transformed Scores'!S9,'Transformed Scores'!AA9,'Transformed Scores'!AB9)</f>
        <v>1.5</v>
      </c>
      <c r="D10" s="12">
        <f>AVERAGE('Transformed Scores'!D10,'Transformed Scores'!O10,'Transformed Scores'!Q10,'Transformed Scores'!S10,'Transformed Scores'!AA10,'Transformed Scores'!AB10)</f>
        <v>-0.33333333333333</v>
      </c>
      <c r="E10" s="12">
        <f>AVERAGE('Transformed Scores'!D11,'Transformed Scores'!O11,'Transformed Scores'!Q11,'Transformed Scores'!S11,'Transformed Scores'!AA11,'Transformed Scores'!AB11)</f>
        <v>-0.16666666666667</v>
      </c>
      <c r="F10" s="12">
        <f>AVERAGE('Transformed Scores'!D12,'Transformed Scores'!O12,'Transformed Scores'!Q12,'Transformed Scores'!S12,'Transformed Scores'!AA12,'Transformed Scores'!AB12)</f>
        <v>0.5</v>
      </c>
      <c r="G10" s="12">
        <f>SUM('Transformed Scores'!D9,'Transformed Scores'!O9,'Transformed Scores'!Q9,'Transformed Scores'!S9,'Transformed Scores'!AA9,'Transformed Scores'!AB9)</f>
        <v>9</v>
      </c>
      <c r="H10" s="12">
        <f>SUM('Transformed Scores'!D10,'Transformed Scores'!O10,'Transformed Scores'!Q10,'Transformed Scores'!S10,'Transformed Scores'!AA10,'Transformed Scores'!AB10)</f>
        <v>-2</v>
      </c>
      <c r="I10" s="12">
        <f>SUM('Transformed Scores'!D11,'Transformed Scores'!O11,'Transformed Scores'!Q11,'Transformed Scores'!S11,'Transformed Scores'!AA11,'Transformed Scores'!AB11)</f>
        <v>-1</v>
      </c>
      <c r="J10" s="13">
        <f>SUM('Transformed Scores'!D12,'Transformed Scores'!O12,'Transformed Scores'!Q12,'Transformed Scores'!S12,'Transformed Scores'!AA12,'Transformed Scores'!AB12)</f>
        <v>3</v>
      </c>
    </row>
    <row r="11" spans="1:10">
      <c r="A11" s="6" t="s">
        <v>21</v>
      </c>
      <c r="B11" s="7" t="s">
        <v>4</v>
      </c>
      <c r="C11" s="12">
        <f>AVERAGE('Transformed Scores'!E9,'Transformed Scores'!G9,'Transformed Scores'!P9,'Transformed Scores'!X9)</f>
        <v>1.5</v>
      </c>
      <c r="D11" s="12">
        <f>AVERAGE('Transformed Scores'!E10,'Transformed Scores'!G10,'Transformed Scores'!P10,'Transformed Scores'!X10)</f>
        <v>0.75</v>
      </c>
      <c r="E11" s="12">
        <f>AVERAGE('Transformed Scores'!E11,'Transformed Scores'!G11,'Transformed Scores'!P11,'Transformed Scores'!X11)</f>
        <v>0.25</v>
      </c>
      <c r="F11" s="12">
        <f>AVERAGE('Transformed Scores'!E12,'Transformed Scores'!G12,'Transformed Scores'!P12,'Transformed Scores'!X12)</f>
        <v>0.25</v>
      </c>
      <c r="G11" s="12">
        <f>SUM('Transformed Scores'!E9,'Transformed Scores'!G9,'Transformed Scores'!P9,'Transformed Scores'!X9)</f>
        <v>6</v>
      </c>
      <c r="H11" s="12">
        <f>SUM('Transformed Scores'!E10,'Transformed Scores'!G10,'Transformed Scores'!P10,'Transformed Scores'!X10)</f>
        <v>3</v>
      </c>
      <c r="I11" s="12">
        <f>SUM('Transformed Scores'!E11,'Transformed Scores'!G11,'Transformed Scores'!P11,'Transformed Scores'!X11)</f>
        <v>1</v>
      </c>
      <c r="J11" s="13">
        <f>SUM('Transformed Scores'!E12,'Transformed Scores'!G12,'Transformed Scores'!P12,'Transformed Scores'!X12)</f>
        <v>1</v>
      </c>
    </row>
    <row r="12" spans="1:10">
      <c r="A12" s="6" t="s">
        <v>21</v>
      </c>
      <c r="B12" s="7" t="s">
        <v>5</v>
      </c>
      <c r="C12" s="12">
        <f>AVERAGE('Transformed Scores'!L9,'Transformed Scores'!W9,'Transformed Scores'!Y9,'Transformed Scores'!Z9)</f>
        <v>1.5</v>
      </c>
      <c r="D12" s="12">
        <f>AVERAGE('Transformed Scores'!L10,'Transformed Scores'!W10,'Transformed Scores'!Y10,'Transformed Scores'!Z10)</f>
        <v>0</v>
      </c>
      <c r="E12" s="12">
        <f>AVERAGE('Transformed Scores'!L11,'Transformed Scores'!W11,'Transformed Scores'!Y11,'Transformed Scores'!Z11)</f>
        <v>0.25</v>
      </c>
      <c r="F12" s="12">
        <f>AVERAGE('Transformed Scores'!L12,'Transformed Scores'!W12,'Transformed Scores'!Y12,'Transformed Scores'!Z12)</f>
        <v>0.5</v>
      </c>
      <c r="G12" s="12">
        <f>SUM('Transformed Scores'!L9,'Transformed Scores'!W9,'Transformed Scores'!Y9,'Transformed Scores'!Z9)</f>
        <v>6</v>
      </c>
      <c r="H12" s="12">
        <f>SUM('Transformed Scores'!L10,'Transformed Scores'!W10,'Transformed Scores'!Y10,'Transformed Scores'!Z10)</f>
        <v>0</v>
      </c>
      <c r="I12" s="12">
        <f>SUM('Transformed Scores'!L11,'Transformed Scores'!W11,'Transformed Scores'!Y11,'Transformed Scores'!Z11)</f>
        <v>1</v>
      </c>
      <c r="J12" s="13">
        <f>SUM('Transformed Scores'!L12,'Transformed Scores'!W12,'Transformed Scores'!Y12,'Transformed Scores'!Z12)</f>
        <v>2</v>
      </c>
    </row>
    <row r="13" spans="1:10">
      <c r="A13" s="6" t="s">
        <v>21</v>
      </c>
      <c r="B13" s="7" t="s">
        <v>6</v>
      </c>
      <c r="C13" s="12">
        <f>AVERAGE('Transformed Scores'!K9,'Transformed Scores'!N9,'Transformed Scores'!T9,'Transformed Scores'!V9)</f>
        <v>1.5</v>
      </c>
      <c r="D13" s="12">
        <f>AVERAGE('Transformed Scores'!K10,'Transformed Scores'!N10,'Transformed Scores'!T10,'Transformed Scores'!V10)</f>
        <v>-0.5</v>
      </c>
      <c r="E13" s="12">
        <f>AVERAGE('Transformed Scores'!K11,'Transformed Scores'!N11,'Transformed Scores'!T11,'Transformed Scores'!V11)</f>
        <v>-0.5</v>
      </c>
      <c r="F13" s="12">
        <f>AVERAGE('Transformed Scores'!K12,'Transformed Scores'!N12,'Transformed Scores'!T12,'Transformed Scores'!V12)</f>
        <v>0.25</v>
      </c>
      <c r="G13" s="12">
        <f>SUM('Transformed Scores'!K9,'Transformed Scores'!N9,'Transformed Scores'!T9,'Transformed Scores'!V9)</f>
        <v>6</v>
      </c>
      <c r="H13" s="12">
        <f>SUM('Transformed Scores'!K10,'Transformed Scores'!N10,'Transformed Scores'!T10,'Transformed Scores'!V10)</f>
        <v>-2</v>
      </c>
      <c r="I13" s="12">
        <f>SUM('Transformed Scores'!K11,'Transformed Scores'!N11,'Transformed Scores'!T11,'Transformed Scores'!V11)</f>
        <v>-2</v>
      </c>
      <c r="J13" s="13">
        <f>SUM('Transformed Scores'!K12,'Transformed Scores'!N12,'Transformed Scores'!T12,'Transformed Scores'!V12)</f>
        <v>1</v>
      </c>
    </row>
    <row r="14" spans="1:10">
      <c r="A14" s="6" t="s">
        <v>21</v>
      </c>
      <c r="B14" s="7" t="s">
        <v>7</v>
      </c>
      <c r="C14" s="12">
        <f>AVERAGE('Transformed Scores'!H9,'Transformed Scores'!I9,'Transformed Scores'!J9,'Transformed Scores'!U9)</f>
        <v>1.5</v>
      </c>
      <c r="D14" s="12">
        <f>AVERAGE('Transformed Scores'!H10,'Transformed Scores'!I10,'Transformed Scores'!J10,'Transformed Scores'!U10)</f>
        <v>0.75</v>
      </c>
      <c r="E14" s="12">
        <f>AVERAGE('Transformed Scores'!H11,'Transformed Scores'!I11,'Transformed Scores'!J11,'Transformed Scores'!U11)</f>
        <v>0.25</v>
      </c>
      <c r="F14" s="12">
        <f>AVERAGE('Transformed Scores'!H12,'Transformed Scores'!I12,'Transformed Scores'!J12,'Transformed Scores'!U12)</f>
        <v>0.5</v>
      </c>
      <c r="G14" s="12">
        <f>SUM('Transformed Scores'!H9,'Transformed Scores'!I9,'Transformed Scores'!J9,'Transformed Scores'!U9)</f>
        <v>6</v>
      </c>
      <c r="H14" s="12">
        <f>SUM('Transformed Scores'!H10,'Transformed Scores'!I10,'Transformed Scores'!J10,'Transformed Scores'!U10)</f>
        <v>3</v>
      </c>
      <c r="I14" s="12">
        <f>SUM('Transformed Scores'!H11,'Transformed Scores'!I11,'Transformed Scores'!J11,'Transformed Scores'!U11)</f>
        <v>1</v>
      </c>
      <c r="J14" s="13">
        <f>SUM('Transformed Scores'!H12,'Transformed Scores'!I12,'Transformed Scores'!J12,'Transformed Scores'!U12)</f>
        <v>2</v>
      </c>
    </row>
    <row r="15" spans="1:10">
      <c r="A15" s="9" t="s">
        <v>21</v>
      </c>
      <c r="B15" s="10" t="s">
        <v>8</v>
      </c>
      <c r="C15" s="14">
        <f>AVERAGE('Transformed Scores'!F9,'Transformed Scores'!M9,'Transformed Scores'!R9,'Transformed Scores'!AC9)</f>
        <v>1.25</v>
      </c>
      <c r="D15" s="14">
        <f>AVERAGE('Transformed Scores'!F10,'Transformed Scores'!M10,'Transformed Scores'!R10,'Transformed Scores'!AC10)</f>
        <v>-0.25</v>
      </c>
      <c r="E15" s="14">
        <f>AVERAGE('Transformed Scores'!F11,'Transformed Scores'!M11,'Transformed Scores'!R11,'Transformed Scores'!AC11)</f>
        <v>0.25</v>
      </c>
      <c r="F15" s="14">
        <f>AVERAGE('Transformed Scores'!F12,'Transformed Scores'!M12,'Transformed Scores'!R12,'Transformed Scores'!AC12)</f>
        <v>0.5</v>
      </c>
      <c r="G15" s="14">
        <f>SUM('Transformed Scores'!F9,'Transformed Scores'!M9,'Transformed Scores'!R9,'Transformed Scores'!AC9)</f>
        <v>5</v>
      </c>
      <c r="H15" s="14">
        <f>SUM('Transformed Scores'!F10,'Transformed Scores'!M10,'Transformed Scores'!R10,'Transformed Scores'!AC10)</f>
        <v>-1</v>
      </c>
      <c r="I15" s="14">
        <f>SUM('Transformed Scores'!F11,'Transformed Scores'!M11,'Transformed Scores'!R11,'Transformed Scores'!AC11)</f>
        <v>1</v>
      </c>
      <c r="J15" s="15">
        <f>SUM('Transformed Scores'!F12,'Transformed Scores'!M12,'Transformed Scores'!R12,'Transformed Scores'!AC12)</f>
        <v>2</v>
      </c>
    </row>
  </sheetData>
  <mergeCells>
    <mergeCell ref="A1:J1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S20"/>
  <sheetViews>
    <sheetView tabSelected="1" workbookViewId="0" showGridLines="false" showRowColHeaders="1">
      <selection activeCell="K16" sqref="K16"/>
    </sheetView>
  </sheetViews>
  <sheetFormatPr defaultRowHeight="14.4" outlineLevelRow="0" outlineLevelCol="0"/>
  <cols>
    <col min="1" max="1" width="17" customWidth="true" style="0"/>
    <col min="2" max="2" width="17" customWidth="true" style="0"/>
    <col min="3" max="3" width="17" customWidth="true" style="0"/>
    <col min="4" max="4" width="17" customWidth="true" style="0"/>
    <col min="5" max="5" width="17" customWidth="true" style="0"/>
    <col min="6" max="6" width="17" customWidth="true" style="0"/>
    <col min="7" max="7" width="17" customWidth="true" style="0"/>
    <col min="8" max="8" width="17" customWidth="true" style="0"/>
    <col min="9" max="9" width="17" customWidth="true" style="0"/>
    <col min="10" max="10" width="17" customWidth="true" style="0"/>
    <col min="11" max="11" width="17" customWidth="true" style="0"/>
    <col min="12" max="12" width="13" customWidth="true" style="0"/>
    <col min="13" max="13" width="13" customWidth="true" style="0"/>
    <col min="14" max="14" width="13" customWidth="true" style="0"/>
    <col min="15" max="15" width="13" customWidth="true" style="0"/>
    <col min="16" max="16" width="13" customWidth="true" style="0"/>
    <col min="17" max="17" width="13" customWidth="true" style="0"/>
    <col min="18" max="18" width="13" customWidth="true" style="0"/>
    <col min="19" max="19" width="13" customWidth="true" style="0"/>
  </cols>
  <sheetData>
    <row r="1" spans="1:19">
      <c r="A1" s="1" t="s">
        <v>133</v>
      </c>
      <c r="B1" s="1"/>
      <c r="C1" s="1"/>
      <c r="D1" s="1"/>
      <c r="E1" s="1"/>
      <c r="F1" s="1"/>
      <c r="G1" s="1"/>
      <c r="H1" s="1"/>
      <c r="I1" s="1"/>
      <c r="J1" s="1"/>
      <c r="K1" s="1"/>
    </row>
    <row r="3" spans="1:19">
      <c r="A3" s="3" t="s">
        <v>134</v>
      </c>
      <c r="B3" s="4" t="s">
        <v>135</v>
      </c>
      <c r="C3" s="4" t="s">
        <v>136</v>
      </c>
      <c r="D3" s="4" t="s">
        <v>137</v>
      </c>
      <c r="E3" s="4" t="s">
        <v>10</v>
      </c>
      <c r="F3" s="4" t="s">
        <v>138</v>
      </c>
      <c r="G3" s="4" t="s">
        <v>139</v>
      </c>
      <c r="H3" s="4" t="s">
        <v>140</v>
      </c>
      <c r="I3" s="17"/>
      <c r="J3" s="17"/>
      <c r="K3" s="18"/>
    </row>
    <row r="4" spans="1:19">
      <c r="A4" s="6" t="s">
        <v>141</v>
      </c>
      <c r="B4" s="7">
        <v>24</v>
      </c>
      <c r="C4" s="7">
        <v>48</v>
      </c>
      <c r="D4" s="7">
        <v>28</v>
      </c>
      <c r="E4" s="7" t="s">
        <v>20</v>
      </c>
      <c r="F4" s="7">
        <v>4</v>
      </c>
      <c r="G4" s="7">
        <v>3</v>
      </c>
      <c r="H4" s="7">
        <f>SUM(B4:D4)</f>
        <v>100</v>
      </c>
      <c r="I4" s="7"/>
      <c r="J4" s="7"/>
      <c r="K4" s="8"/>
    </row>
    <row r="5" spans="1:19">
      <c r="A5" s="6" t="s">
        <v>141</v>
      </c>
      <c r="B5" s="7">
        <v>24</v>
      </c>
      <c r="C5" s="7">
        <v>48</v>
      </c>
      <c r="D5" s="7">
        <v>28</v>
      </c>
      <c r="E5" s="7" t="s">
        <v>21</v>
      </c>
      <c r="F5" s="7">
        <v>8</v>
      </c>
      <c r="G5" s="7">
        <v>5</v>
      </c>
      <c r="H5" s="7">
        <f>SUM(B5:D5)</f>
        <v>100</v>
      </c>
      <c r="I5" s="7"/>
      <c r="J5" s="7"/>
      <c r="K5" s="8"/>
    </row>
    <row r="6" spans="1:19">
      <c r="A6" s="6" t="s">
        <v>142</v>
      </c>
      <c r="B6" s="7">
        <v>24</v>
      </c>
      <c r="C6" s="7">
        <v>48</v>
      </c>
      <c r="D6" s="7">
        <v>28</v>
      </c>
      <c r="E6" s="7" t="s">
        <v>20</v>
      </c>
      <c r="F6" s="7">
        <v>4</v>
      </c>
      <c r="G6" s="7">
        <v>3</v>
      </c>
      <c r="H6" s="7">
        <f>SUM(B6:D6)</f>
        <v>100</v>
      </c>
      <c r="I6" s="7"/>
      <c r="J6" s="7"/>
      <c r="K6" s="8"/>
    </row>
    <row r="7" spans="1:19">
      <c r="A7" s="6" t="s">
        <v>142</v>
      </c>
      <c r="B7" s="7">
        <v>24</v>
      </c>
      <c r="C7" s="7">
        <v>48</v>
      </c>
      <c r="D7" s="7">
        <v>28</v>
      </c>
      <c r="E7" s="7" t="s">
        <v>21</v>
      </c>
      <c r="F7" s="7">
        <v>8</v>
      </c>
      <c r="G7" s="7">
        <v>5</v>
      </c>
      <c r="H7" s="7">
        <f>SUM(B7:D7)</f>
        <v>100</v>
      </c>
      <c r="I7" s="7"/>
      <c r="J7" s="7"/>
      <c r="K7" s="8"/>
    </row>
    <row r="8" spans="1:19">
      <c r="A8" s="6" t="s">
        <v>143</v>
      </c>
      <c r="B8" s="7">
        <v>24</v>
      </c>
      <c r="C8" s="7">
        <v>47</v>
      </c>
      <c r="D8" s="7">
        <v>29</v>
      </c>
      <c r="E8" s="7" t="s">
        <v>20</v>
      </c>
      <c r="F8" s="7">
        <v>4</v>
      </c>
      <c r="G8" s="7">
        <v>3</v>
      </c>
      <c r="H8" s="7">
        <f>SUM(B8:D8)</f>
        <v>100</v>
      </c>
      <c r="I8" s="7"/>
      <c r="J8" s="7"/>
      <c r="K8" s="8"/>
    </row>
    <row r="9" spans="1:19">
      <c r="A9" s="6" t="s">
        <v>143</v>
      </c>
      <c r="B9" s="7">
        <v>24</v>
      </c>
      <c r="C9" s="7">
        <v>47</v>
      </c>
      <c r="D9" s="7">
        <v>29</v>
      </c>
      <c r="E9" s="7" t="s">
        <v>21</v>
      </c>
      <c r="F9" s="7">
        <v>8</v>
      </c>
      <c r="G9" s="7">
        <v>5</v>
      </c>
      <c r="H9" s="7">
        <f>SUM(B9:D9)</f>
        <v>100</v>
      </c>
      <c r="I9" s="7"/>
      <c r="J9" s="7"/>
      <c r="K9" s="8"/>
    </row>
    <row r="10" spans="1:19">
      <c r="A10" s="6"/>
      <c r="B10" s="7"/>
      <c r="C10" s="7"/>
      <c r="D10" s="7"/>
      <c r="E10" s="7"/>
      <c r="F10" s="7"/>
      <c r="G10" s="7"/>
      <c r="H10" s="7"/>
      <c r="I10" s="7"/>
      <c r="J10" s="7"/>
      <c r="K10" s="8"/>
    </row>
    <row r="11" spans="1:19">
      <c r="A11" s="21" t="s">
        <v>144</v>
      </c>
      <c r="B11" s="2" t="s">
        <v>145</v>
      </c>
      <c r="C11" s="2" t="s">
        <v>146</v>
      </c>
      <c r="D11" s="2" t="s">
        <v>147</v>
      </c>
      <c r="E11" s="7"/>
      <c r="F11" s="7"/>
      <c r="G11" s="7"/>
      <c r="H11" s="7"/>
      <c r="I11" s="7"/>
      <c r="J11" s="7"/>
      <c r="K11" s="8"/>
    </row>
    <row r="12" spans="1:19">
      <c r="A12" s="6" t="s">
        <v>148</v>
      </c>
      <c r="B12" s="12">
        <f>AVERAGE(B4:B9)/100</f>
        <v>0.24</v>
      </c>
      <c r="C12" s="12">
        <f>AVERAGE(C4:C9)/100</f>
        <v>0.47666666666667</v>
      </c>
      <c r="D12" s="12">
        <f>AVERAGE(D4:D9)/100</f>
        <v>0.28333333333333</v>
      </c>
      <c r="E12" s="7"/>
      <c r="F12" s="7"/>
      <c r="G12" s="7"/>
      <c r="H12" s="7"/>
      <c r="I12" s="7"/>
      <c r="J12" s="7"/>
      <c r="K12" s="8"/>
    </row>
    <row r="13" spans="1:19">
      <c r="A13" s="6"/>
      <c r="B13" s="7"/>
      <c r="C13" s="7"/>
      <c r="D13" s="7"/>
      <c r="E13" s="7"/>
      <c r="F13" s="7"/>
      <c r="G13" s="7"/>
      <c r="H13" s="7"/>
      <c r="I13" s="7"/>
      <c r="J13" s="7"/>
      <c r="K13" s="8"/>
    </row>
    <row r="14" spans="1:19">
      <c r="A14" s="21" t="s">
        <v>10</v>
      </c>
      <c r="B14" s="2" t="s">
        <v>149</v>
      </c>
      <c r="C14" s="2" t="s">
        <v>150</v>
      </c>
      <c r="D14" s="2" t="s">
        <v>151</v>
      </c>
      <c r="E14" s="2" t="s">
        <v>152</v>
      </c>
      <c r="F14" s="2" t="s">
        <v>153</v>
      </c>
      <c r="G14" s="2" t="s">
        <v>154</v>
      </c>
      <c r="H14" s="2" t="s">
        <v>155</v>
      </c>
      <c r="I14" s="2" t="s">
        <v>156</v>
      </c>
      <c r="J14" s="2" t="s">
        <v>157</v>
      </c>
      <c r="K14" s="22" t="s">
        <v>158</v>
      </c>
      <c r="L14" s="22" t="s">
        <v>159</v>
      </c>
      <c r="M14" s="22" t="s">
        <v>160</v>
      </c>
      <c r="N14" s="22" t="s">
        <v>161</v>
      </c>
      <c r="O14" s="22" t="s">
        <v>162</v>
      </c>
      <c r="P14" s="22" t="s">
        <v>163</v>
      </c>
      <c r="Q14" s="22" t="s">
        <v>164</v>
      </c>
      <c r="R14" s="22" t="s">
        <v>165</v>
      </c>
      <c r="S14" s="22" t="s">
        <v>166</v>
      </c>
    </row>
    <row r="15" spans="1:19">
      <c r="A15" s="6" t="s">
        <v>20</v>
      </c>
      <c r="B15" s="12">
        <f>AVERAGE('Overview'!$J$14:$J$19)</f>
        <v>0.46</v>
      </c>
      <c r="C15" s="12">
        <f>AVERAGEIF($E$4:$E$9,A15,$F$4:$F$9)</f>
        <v>4</v>
      </c>
      <c r="D15" s="12">
        <f>AVERAGEIF($E$4:$E$9,A15,$G$4:$G$9)</f>
        <v>3</v>
      </c>
      <c r="E15" s="12">
        <f>B15/MAX($B$15:$B$16)</f>
        <v>0.47916666666667</v>
      </c>
      <c r="F15" s="12">
        <f>MIN($C$15:$C$16)/C15</f>
        <v>1</v>
      </c>
      <c r="G15" s="12">
        <f>D15/MAX($D$15:$D$16)</f>
        <v>0.6</v>
      </c>
      <c r="H15" s="12">
        <f>$B$12*E15</f>
        <v>0.115</v>
      </c>
      <c r="I15" s="12">
        <f>$C$12*F15</f>
        <v>0.47666666666667</v>
      </c>
      <c r="J15" s="12">
        <f>$D$12*G15</f>
        <v>0.17</v>
      </c>
      <c r="K15" s="13">
        <f>SUM(H15:J15)</f>
        <v>0.76166666666667</v>
      </c>
      <c r="L15" s="13">
        <f>ROUND(K15,6)</f>
        <v>0.761667</v>
      </c>
      <c r="M15" s="13">
        <f>_xlfn.RANK.EQ(L15,$L$15:$L$16,0)</f>
        <v>1</v>
      </c>
      <c r="N15" s="13">
        <f>0.6*E15+0.2*F15+0.2*G15</f>
        <v>0.6075</v>
      </c>
      <c r="O15" s="13">
        <f>_xlfn.RANK.EQ(N15,$N$15:$N$16,0)</f>
        <v>2</v>
      </c>
      <c r="P15" s="13">
        <f>0.2*E15+0.4*F15+0.4*G15</f>
        <v>0.73583333333333</v>
      </c>
      <c r="Q15" s="13">
        <f>_xlfn.RANK.EQ(P15,$P$15:$P$16,0)</f>
        <v>2</v>
      </c>
      <c r="R15" s="13">
        <f>M15-O15</f>
        <v>-1</v>
      </c>
      <c r="S15" s="13">
        <f>M15-Q15</f>
        <v>-1</v>
      </c>
    </row>
    <row r="16" spans="1:19">
      <c r="A16" s="6" t="s">
        <v>21</v>
      </c>
      <c r="B16" s="12">
        <f>AVERAGE('Overview'!$J$20:$J$25)</f>
        <v>0.96</v>
      </c>
      <c r="C16" s="12">
        <f>AVERAGEIF($E$4:$E$9,A16,$F$4:$F$9)</f>
        <v>8</v>
      </c>
      <c r="D16" s="12">
        <f>AVERAGEIF($E$4:$E$9,A16,$G$4:$G$9)</f>
        <v>5</v>
      </c>
      <c r="E16" s="12">
        <f>B16/MAX($B$15:$B$16)</f>
        <v>1</v>
      </c>
      <c r="F16" s="12">
        <f>MIN($C$15:$C$16)/C16</f>
        <v>0.5</v>
      </c>
      <c r="G16" s="12">
        <f>D16/MAX($D$15:$D$16)</f>
        <v>1</v>
      </c>
      <c r="H16" s="12">
        <f>$B$12*E16</f>
        <v>0.24</v>
      </c>
      <c r="I16" s="12">
        <f>$C$12*F16</f>
        <v>0.23833333333333</v>
      </c>
      <c r="J16" s="12">
        <f>$D$12*G16</f>
        <v>0.28333333333333</v>
      </c>
      <c r="K16" s="13">
        <f>SUM(H16:J16)</f>
        <v>0.76166666666667</v>
      </c>
      <c r="L16" s="13">
        <f>ROUND(K16,6)</f>
        <v>0.761667</v>
      </c>
      <c r="M16" s="13">
        <f>_xlfn.RANK.EQ(L16,$L$15:$L$16,0)</f>
        <v>1</v>
      </c>
      <c r="N16" s="13">
        <f>0.6*E16+0.2*F16+0.2*G16</f>
        <v>0.9</v>
      </c>
      <c r="O16" s="13">
        <f>_xlfn.RANK.EQ(N16,$N$15:$N$16,0)</f>
        <v>1</v>
      </c>
      <c r="P16" s="13">
        <f>0.2*E16+0.4*F16+0.4*G16</f>
        <v>0.8</v>
      </c>
      <c r="Q16" s="13">
        <f>_xlfn.RANK.EQ(P16,$P$15:$P$16,0)</f>
        <v>1</v>
      </c>
      <c r="R16" s="13">
        <f>M16-O16</f>
        <v>0</v>
      </c>
      <c r="S16" s="13">
        <f>M16-Q16</f>
        <v>0</v>
      </c>
    </row>
    <row r="17" spans="1:19">
      <c r="A17" s="6"/>
      <c r="B17" s="7"/>
      <c r="C17" s="7"/>
      <c r="D17" s="7"/>
      <c r="E17" s="7"/>
      <c r="F17" s="7"/>
      <c r="G17" s="7"/>
      <c r="H17" s="7"/>
      <c r="I17" s="7"/>
      <c r="J17" s="7"/>
      <c r="K17" s="8"/>
    </row>
    <row r="18" spans="1:19">
      <c r="A18" s="21" t="s">
        <v>167</v>
      </c>
      <c r="B18" s="2" t="s">
        <v>168</v>
      </c>
      <c r="C18" s="2" t="s">
        <v>169</v>
      </c>
      <c r="D18" s="7"/>
      <c r="E18" s="7"/>
      <c r="F18" s="7"/>
      <c r="G18" s="7"/>
      <c r="H18" s="7"/>
      <c r="I18" s="7"/>
      <c r="J18" s="7"/>
      <c r="K18" s="8"/>
    </row>
    <row r="19" spans="1:19">
      <c r="A19" s="6" t="s">
        <v>20</v>
      </c>
      <c r="B19" s="7" t="str">
        <f>IF(ABS($K$15-$K$16)&lt;=$C$19,"1 (tied)","not tied")</f>
        <v>1 (tied)</v>
      </c>
      <c r="C19" s="7">
        <v>1.0E-6</v>
      </c>
      <c r="D19" s="7"/>
      <c r="E19" s="7"/>
      <c r="F19" s="7"/>
      <c r="G19" s="7"/>
      <c r="H19" s="7"/>
      <c r="I19" s="7"/>
      <c r="J19" s="7"/>
      <c r="K19" s="8"/>
    </row>
    <row r="20" spans="1:19">
      <c r="A20" s="9" t="s">
        <v>21</v>
      </c>
      <c r="B20" s="10" t="str">
        <f>IF(ABS($K$15-$K$16)&lt;=$C$20,"1 (tied)","not tied")</f>
        <v>1 (tied)</v>
      </c>
      <c r="C20" s="10">
        <v>1.0E-6</v>
      </c>
      <c r="D20" s="10"/>
      <c r="E20" s="10"/>
      <c r="F20" s="10"/>
      <c r="G20" s="10"/>
      <c r="H20" s="10"/>
      <c r="I20" s="10"/>
      <c r="J20" s="10"/>
      <c r="K20" s="11"/>
    </row>
  </sheetData>
  <mergeCells>
    <mergeCell ref="A1:K1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Overview</vt:lpstr>
      <vt:lpstr>Item Mapping</vt:lpstr>
      <vt:lpstr>Raw Answers</vt:lpstr>
      <vt:lpstr>Transformed Scores</vt:lpstr>
      <vt:lpstr>Respondent Scale Means</vt:lpstr>
      <vt:lpstr>Technical and SAW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 Creator</dc:creator>
  <cp:lastModifiedBy>Unknown Creator</cp:lastModifiedBy>
  <dcterms:created xsi:type="dcterms:W3CDTF">2026-08-06T07:41:53+00:00</dcterms:created>
  <dcterms:modified xsi:type="dcterms:W3CDTF">2026-08-06T07:41:53+00:00</dcterms:modified>
  <dc:title>Untitled Spreadsheet</dc:title>
  <dc:description/>
  <dc:subject/>
  <cp:keywords/>
  <cp:category/>
</cp:coreProperties>
</file>