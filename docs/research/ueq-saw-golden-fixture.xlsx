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d83558151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503729ae9a14171"/>
    <x:sheet xmlns:r="http://schemas.openxmlformats.org/officeDocument/2006/relationships" name="Item Mapping" sheetId="2" r:id="Rd71ceef5bc324609"/>
    <x:sheet xmlns:r="http://schemas.openxmlformats.org/officeDocument/2006/relationships" name="Raw Answers" sheetId="3" r:id="R7d18b6377ae64a67"/>
    <x:sheet xmlns:r="http://schemas.openxmlformats.org/officeDocument/2006/relationships" name="Transformed Scores" sheetId="4" r:id="R8f50d154d14149fc"/>
    <x:sheet xmlns:r="http://schemas.openxmlformats.org/officeDocument/2006/relationships" name="Respondent Scale Means" sheetId="5" r:id="Rdbad30d07fb84f0e"/>
    <x:sheet xmlns:r="http://schemas.openxmlformats.org/officeDocument/2006/relationships" name="Technical and SAW" sheetId="6" r:id="R21fecfb8a68e43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34E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15E59"/>
      </x:patternFill>
    </x:fill>
    <x:fill>
      <x:patternFill patternType="solid">
        <x:fgColor rgb="FFCCFBF1"/>
      </x:patternFill>
    </x:fill>
  </x:fills>
  <x:borders count="9">
    <x:border/>
    <x:border>
      <x:left style="thin">
        <x:color rgb="FF99F6E4"/>
      </x:left>
      <x:top style="thin">
        <x:color rgb="FF99F6E4"/>
      </x:top>
    </x:border>
    <x:border>
      <x:top style="thin">
        <x:color rgb="FF99F6E4"/>
      </x:top>
    </x:border>
    <x:border>
      <x:right style="thin">
        <x:color rgb="FF99F6E4"/>
      </x:right>
      <x:top style="thin">
        <x:color rgb="FF99F6E4"/>
      </x:top>
    </x:border>
    <x:border>
      <x:left style="thin">
        <x:color rgb="FF99F6E4"/>
      </x:left>
    </x:border>
    <x:border>
      <x:right style="thin">
        <x:color rgb="FF99F6E4"/>
      </x:right>
    </x:border>
    <x:border>
      <x:left style="thin">
        <x:color rgb="FF99F6E4"/>
      </x:left>
      <x:bottom style="thin">
        <x:color rgb="FF99F6E4"/>
      </x:bottom>
    </x:border>
    <x:border>
      <x:bottom style="thin">
        <x:color rgb="FF99F6E4"/>
      </x:bottom>
    </x:border>
    <x:border>
      <x:right style="thin">
        <x:color rgb="FF99F6E4"/>
      </x:right>
      <x:bottom style="thin">
        <x:color rgb="FF99F6E4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0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891293567341af" /><Relationship Type="http://schemas.openxmlformats.org/officeDocument/2006/relationships/theme" Target="/xl/theme/theme1.xml" Id="Re35d286e2e144e99" /><Relationship Type="http://schemas.openxmlformats.org/officeDocument/2006/relationships/sharedStrings" Target="/xl/sharedStrings.xml" Id="R54d80a27ef4d4b17" /><Relationship Type="http://schemas.openxmlformats.org/officeDocument/2006/relationships/worksheet" Target="/xl/worksheets/sheet1.xml" Id="Rf503729ae9a14171" /><Relationship Type="http://schemas.openxmlformats.org/officeDocument/2006/relationships/worksheet" Target="/xl/worksheets/sheet2.xml" Id="Rd71ceef5bc324609" /><Relationship Type="http://schemas.openxmlformats.org/officeDocument/2006/relationships/worksheet" Target="/xl/worksheets/sheet3.xml" Id="R7d18b6377ae64a67" /><Relationship Type="http://schemas.openxmlformats.org/officeDocument/2006/relationships/worksheet" Target="/xl/worksheets/sheet4.xml" Id="R8f50d154d14149fc" /><Relationship Type="http://schemas.openxmlformats.org/officeDocument/2006/relationships/worksheet" Target="/xl/worksheets/sheet5.xml" Id="Rdbad30d07fb84f0e" /><Relationship Type="http://schemas.openxmlformats.org/officeDocument/2006/relationships/worksheet" Target="/xl/worksheets/sheet6.xml" Id="R21fecfb8a68e43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3" t="str">
        <x:v>UEQ and SAW golden fixture: ueq-saw-v1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8" t="str">
        <x:v>Good threshold</x:v>
      </x:c>
      <x:c r="B3" s="9" t="str">
        <x:v>Score</x:v>
      </x:c>
      <x:c r="C3" s="23"/>
      <x:c r="D3" s="23"/>
      <x:c r="E3" s="23"/>
      <x:c r="F3" s="23"/>
      <x:c r="G3" s="23"/>
      <x:c r="H3" s="23"/>
      <x:c r="I3" s="23"/>
      <x:c r="J3" s="24"/>
    </x:row>
    <x:row r="4">
      <x:c r="A4" s="11" t="str">
        <x:v>Attractiveness</x:v>
      </x:c>
      <x:c r="B4" s="29" t="n">
        <x:v>1.58</x:v>
      </x:c>
      <x:c r="C4" s="12"/>
      <x:c r="D4" s="12"/>
      <x:c r="E4" s="12"/>
      <x:c r="F4" s="12"/>
      <x:c r="G4" s="12"/>
      <x:c r="H4" s="12"/>
      <x:c r="I4" s="12"/>
      <x:c r="J4" s="13"/>
    </x:row>
    <x:row r="5">
      <x:c r="A5" s="11" t="str">
        <x:v>Perspicuity</x:v>
      </x:c>
      <x:c r="B5" s="29" t="n">
        <x:v>1.73</x:v>
      </x:c>
      <x:c r="C5" s="12"/>
      <x:c r="D5" s="12"/>
      <x:c r="E5" s="12"/>
      <x:c r="F5" s="12"/>
      <x:c r="G5" s="12"/>
      <x:c r="H5" s="12"/>
      <x:c r="I5" s="12"/>
      <x:c r="J5" s="13"/>
    </x:row>
    <x:row r="6">
      <x:c r="A6" s="11" t="str">
        <x:v>Efficiency</x:v>
      </x:c>
      <x:c r="B6" s="29" t="n">
        <x:v>1.5</x:v>
      </x:c>
      <x:c r="C6" s="12"/>
      <x:c r="D6" s="12"/>
      <x:c r="E6" s="12"/>
      <x:c r="F6" s="12"/>
      <x:c r="G6" s="12"/>
      <x:c r="H6" s="12"/>
      <x:c r="I6" s="12"/>
      <x:c r="J6" s="13"/>
    </x:row>
    <x:row r="7">
      <x:c r="A7" s="11" t="str">
        <x:v>Dependability</x:v>
      </x:c>
      <x:c r="B7" s="29" t="n">
        <x:v>1.48</x:v>
      </x:c>
      <x:c r="C7" s="12"/>
      <x:c r="D7" s="12"/>
      <x:c r="E7" s="12"/>
      <x:c r="F7" s="12"/>
      <x:c r="G7" s="12"/>
      <x:c r="H7" s="12"/>
      <x:c r="I7" s="12"/>
      <x:c r="J7" s="13"/>
    </x:row>
    <x:row r="8">
      <x:c r="A8" s="11" t="str">
        <x:v>Stimulation</x:v>
      </x:c>
      <x:c r="B8" s="29" t="n">
        <x:v>1.35</x:v>
      </x:c>
      <x:c r="C8" s="12"/>
      <x:c r="D8" s="12"/>
      <x:c r="E8" s="12"/>
      <x:c r="F8" s="12"/>
      <x:c r="G8" s="12"/>
      <x:c r="H8" s="12"/>
      <x:c r="I8" s="12"/>
      <x:c r="J8" s="13"/>
    </x:row>
    <x:row r="9">
      <x:c r="A9" s="11" t="str">
        <x:v>Novelty</x:v>
      </x:c>
      <x:c r="B9" s="29" t="n">
        <x:v>1.12</x:v>
      </x:c>
      <x:c r="C9" s="12"/>
      <x:c r="D9" s="12"/>
      <x:c r="E9" s="12"/>
      <x:c r="F9" s="12"/>
      <x:c r="G9" s="12"/>
      <x:c r="H9" s="12"/>
      <x:c r="I9" s="12"/>
      <x:c r="J9" s="13"/>
    </x:row>
    <x:row r="10">
      <x:c r="A10" s="11"/>
      <x:c r="B10" s="29"/>
      <x:c r="C10" s="12"/>
      <x:c r="D10" s="12"/>
      <x:c r="E10" s="12"/>
      <x:c r="F10" s="12"/>
      <x:c r="G10" s="12"/>
      <x:c r="H10" s="12"/>
      <x:c r="I10" s="12"/>
      <x:c r="J10" s="13"/>
    </x:row>
    <x:row r="11">
      <x:c r="A11" s="11"/>
      <x:c r="B11" s="12"/>
      <x:c r="C11" s="12"/>
      <x:c r="D11" s="12"/>
      <x:c r="E11" s="12"/>
      <x:c r="F11" s="12"/>
      <x:c r="G11" s="12"/>
      <x:c r="H11" s="12"/>
      <x:c r="I11" s="12"/>
      <x:c r="J11" s="13"/>
    </x:row>
    <x:row r="12">
      <x:c r="A12" s="25" t="str">
        <x:v>UEQ scale statistics calculated from included answers only</x:v>
      </x:c>
      <x:c r="B12" s="22"/>
      <x:c r="C12" s="22"/>
      <x:c r="D12" s="22"/>
      <x:c r="E12" s="22"/>
      <x:c r="F12" s="22"/>
      <x:c r="G12" s="22"/>
      <x:c r="H12" s="22"/>
      <x:c r="I12" s="22"/>
      <x:c r="J12" s="26"/>
    </x:row>
    <x:row r="13">
      <x:c r="A13" s="27" t="str">
        <x:v>Unit</x:v>
      </x:c>
      <x:c r="B13" s="7" t="str">
        <x:v>Scale</x:v>
      </x:c>
      <x:c r="C13" s="7" t="str">
        <x:v>n</x:v>
      </x:c>
      <x:c r="D13" s="7" t="str">
        <x:v>Mean</x:v>
      </x:c>
      <x:c r="E13" s="7" t="str">
        <x:v>Sample SD</x:v>
      </x:c>
      <x:c r="F13" s="7" t="str">
        <x:v>SE</x:v>
      </x:c>
      <x:c r="G13" s="7" t="str">
        <x:v>CI95 lower</x:v>
      </x:c>
      <x:c r="H13" s="7" t="str">
        <x:v>CI95 upper</x:v>
      </x:c>
      <x:c r="I13" s="7" t="str">
        <x:v>Cronbach alpha</x:v>
      </x:c>
      <x:c r="J13" s="28" t="str">
        <x:v>Gap to Good</x:v>
      </x:c>
    </x:row>
    <x:row r="14">
      <x:c r="A14" s="11" t="str">
        <x:v>ibadah-yu</x:v>
      </x:c>
      <x:c r="B14" s="12" t="str">
        <x:v>Attractiveness</x:v>
      </x:c>
      <x:c r="C14" s="12" t="n">
        <x:f>COUNT('Respondent Scale Means'!C4:F4)</x:f>
        <x:v>4</x:v>
      </x:c>
      <x:c r="D14" s="17" t="n">
        <x:f>AVERAGE('Respondent Scale Means'!C4:F4)</x:f>
        <x:v>1</x:v>
      </x:c>
      <x:c r="E14" s="17" t="n">
        <x:f>STDEV.S('Respondent Scale Means'!C4:F4)</x:f>
        <x:v>0.47140452079103173</x:v>
      </x:c>
      <x:c r="F14" s="17" t="n">
        <x:f>E14/SQRT(C14)</x:f>
        <x:v>0.23570226039551587</x:v>
      </x:c>
      <x:c r="G14" s="17" t="n">
        <x:f>D14-3.182446305284263*F14</x:f>
        <x:v>0.24989021225714125</x:v>
      </x:c>
      <x:c r="H14" s="17" t="n">
        <x:f>D14+3.182446305284263*F14</x:f>
        <x:v>1.7501097877428586</x:v>
      </x:c>
      <x:c r="I14" s="17" t="n">
        <x:f>(6/(6-1))*(1-(VAR.S('Transformed Scores'!D$4:D$7)+VAR.S('Transformed Scores'!O$4:O$7)+VAR.S('Transformed Scores'!Q$4:Q$7)+VAR.S('Transformed Scores'!S$4:S$7)+VAR.S('Transformed Scores'!AA$4:AA$7)+VAR.S('Transformed Scores'!AB$4:AB$7))/VAR.S('Respondent Scale Means'!G4:J4))</x:f>
        <x:v>0.6</x:v>
      </x:c>
      <x:c r="J14" s="18" t="n">
        <x:f>MAX(0,$B$4-D14)</x:f>
        <x:v>0.5800000000000001</x:v>
      </x:c>
    </x:row>
    <x:row r="15">
      <x:c r="A15" s="11" t="str">
        <x:v>ibadah-yu</x:v>
      </x:c>
      <x:c r="B15" s="12" t="str">
        <x:v>Perspicuity</x:v>
      </x:c>
      <x:c r="C15" s="12" t="n">
        <x:f>COUNT('Respondent Scale Means'!C5:F5)</x:f>
        <x:v>4</x:v>
      </x:c>
      <x:c r="D15" s="17" t="n">
        <x:f>AVERAGE('Respondent Scale Means'!C5:F5)</x:f>
        <x:v>1.125</x:v>
      </x:c>
      <x:c r="E15" s="17" t="n">
        <x:f>STDEV.S('Respondent Scale Means'!C5:F5)</x:f>
        <x:v>0.4330127018922193</x:v>
      </x:c>
      <x:c r="F15" s="17" t="n">
        <x:f>E15/SQRT(C15)</x:f>
        <x:v>0.21650635094610965</x:v>
      </x:c>
      <x:c r="G15" s="17" t="n">
        <x:f>D15-3.182446305284263*F15</x:f>
        <x:v>0.43598016336097534</x:v>
      </x:c>
      <x:c r="H15" s="17" t="n">
        <x:f>D15+3.182446305284263*F15</x:f>
        <x:v>1.8140198366390248</x:v>
      </x:c>
      <x:c r="I15" s="17" t="n">
        <x:f>(4/(4-1))*(1-(VAR.S('Transformed Scores'!E$4:E$7)+VAR.S('Transformed Scores'!G$4:G$7)+VAR.S('Transformed Scores'!P$4:P$7)+VAR.S('Transformed Scores'!X$4:X$7))/VAR.S('Respondent Scale Means'!G5:J5))</x:f>
        <x:v>-0.37037037037037024</x:v>
      </x:c>
      <x:c r="J15" s="18" t="n">
        <x:f>MAX(0,$B$5-D15)</x:f>
        <x:v>0.605</x:v>
      </x:c>
    </x:row>
    <x:row r="16">
      <x:c r="A16" s="11" t="str">
        <x:v>ibadah-yu</x:v>
      </x:c>
      <x:c r="B16" s="12" t="str">
        <x:v>Efficiency</x:v>
      </x:c>
      <x:c r="C16" s="12" t="n">
        <x:f>COUNT('Respondent Scale Means'!C6:F6)</x:f>
        <x:v>4</x:v>
      </x:c>
      <x:c r="D16" s="17" t="n">
        <x:f>AVERAGE('Respondent Scale Means'!C6:F6)</x:f>
        <x:v>0.875</x:v>
      </x:c>
      <x:c r="E16" s="17" t="n">
        <x:f>STDEV.S('Respondent Scale Means'!C6:F6)</x:f>
        <x:v>0.3227486121839514</x:v>
      </x:c>
      <x:c r="F16" s="17" t="n">
        <x:f>E16/SQRT(C16)</x:f>
        <x:v>0.1613743060919757</x:v>
      </x:c>
      <x:c r="G16" s="17" t="n">
        <x:f>D16-3.182446305284263*F16</x:f>
        <x:v>0.36143493580978026</x:v>
      </x:c>
      <x:c r="H16" s="17" t="n">
        <x:f>D16+3.182446305284263*F16</x:f>
        <x:v>1.3885650641902196</x:v>
      </x:c>
      <x:c r="I16" s="17" t="n">
        <x:f>(4/(4-1))*(1-(VAR.S('Transformed Scores'!L$4:L$7)+VAR.S('Transformed Scores'!W$4:W$7)+VAR.S('Transformed Scores'!Y$4:Y$7)+VAR.S('Transformed Scores'!Z$4:Z$7))/VAR.S('Respondent Scale Means'!G6:J6))</x:f>
        <x:v>-0.6666666666666666</x:v>
      </x:c>
      <x:c r="J16" s="18" t="n">
        <x:f>MAX(0,$B$6-D16)</x:f>
        <x:v>0.625</x:v>
      </x:c>
    </x:row>
    <x:row r="17">
      <x:c r="A17" s="11" t="str">
        <x:v>ibadah-yu</x:v>
      </x:c>
      <x:c r="B17" s="12" t="str">
        <x:v>Dependability</x:v>
      </x:c>
      <x:c r="C17" s="12" t="n">
        <x:f>COUNT('Respondent Scale Means'!C7:F7)</x:f>
        <x:v>4</x:v>
      </x:c>
      <x:c r="D17" s="17" t="n">
        <x:f>AVERAGE('Respondent Scale Means'!C7:F7)</x:f>
        <x:v>0.6875</x:v>
      </x:c>
      <x:c r="E17" s="17" t="n">
        <x:f>STDEV.S('Respondent Scale Means'!C7:F7)</x:f>
        <x:v>0.42695628191498325</x:v>
      </x:c>
      <x:c r="F17" s="17" t="n">
        <x:f>E17/SQRT(C17)</x:f>
        <x:v>0.21347814095749162</x:v>
      </x:c>
      <x:c r="G17" s="17" t="n">
        <x:f>D17-3.182446305284263*F17</x:f>
        <x:v>0.008117279050877668</x:v>
      </x:c>
      <x:c r="H17" s="17" t="n">
        <x:f>D17+3.182446305284263*F17</x:f>
        <x:v>1.3668827209491223</x:v>
      </x:c>
      <x:c r="I17" s="17" t="n">
        <x:f>(4/(4-1))*(1-(VAR.S('Transformed Scores'!K$4:K$7)+VAR.S('Transformed Scores'!N$4:N$7)+VAR.S('Transformed Scores'!T$4:T$7)+VAR.S('Transformed Scores'!V$4:V$7))/VAR.S('Respondent Scale Means'!G7:J7))</x:f>
        <x:v>-0.6857142857142859</x:v>
      </x:c>
      <x:c r="J17" s="18" t="n">
        <x:f>MAX(0,$B$7-D17)</x:f>
        <x:v>0.7925</x:v>
      </x:c>
    </x:row>
    <x:row r="18">
      <x:c r="A18" s="11" t="str">
        <x:v>ibadah-yu</x:v>
      </x:c>
      <x:c r="B18" s="12" t="str">
        <x:v>Stimulation</x:v>
      </x:c>
      <x:c r="C18" s="12" t="n">
        <x:f>COUNT('Respondent Scale Means'!C8:F8)</x:f>
        <x:v>4</x:v>
      </x:c>
      <x:c r="D18" s="17" t="n">
        <x:f>AVERAGE('Respondent Scale Means'!C8:F8)</x:f>
        <x:v>1.25</x:v>
      </x:c>
      <x:c r="E18" s="17" t="n">
        <x:f>STDEV.S('Respondent Scale Means'!C8:F8)</x:f>
        <x:v>0.5400617248673217</x:v>
      </x:c>
      <x:c r="F18" s="17" t="n">
        <x:f>E18/SQRT(C18)</x:f>
        <x:v>0.27003086243366087</x:v>
      </x:c>
      <x:c r="G18" s="17" t="n">
        <x:f>D18-3.182446305284263*F18</x:f>
        <x:v>0.39064127953527295</x:v>
      </x:c>
      <x:c r="H18" s="17" t="n">
        <x:f>D18+3.182446305284263*F18</x:f>
        <x:v>2.1093587204647273</x:v>
      </x:c>
      <x:c r="I18" s="17" t="n">
        <x:f>(4/(4-1))*(1-(VAR.S('Transformed Scores'!H$4:H$7)+VAR.S('Transformed Scores'!I$4:I$7)+VAR.S('Transformed Scores'!J$4:J$7)+VAR.S('Transformed Scores'!U$4:U$7))/VAR.S('Respondent Scale Means'!G8:J8))</x:f>
        <x:v>-0.2857142857142856</x:v>
      </x:c>
      <x:c r="J18" s="18" t="n">
        <x:f>MAX(0,$B$8-D18)</x:f>
        <x:v>0.10000000000000009</x:v>
      </x:c>
    </x:row>
    <x:row r="19">
      <x:c r="A19" s="11" t="str">
        <x:v>ibadah-yu</x:v>
      </x:c>
      <x:c r="B19" s="12" t="str">
        <x:v>Novelty</x:v>
      </x:c>
      <x:c r="C19" s="12" t="n">
        <x:f>COUNT('Respondent Scale Means'!C9:F9)</x:f>
        <x:v>4</x:v>
      </x:c>
      <x:c r="D19" s="17" t="n">
        <x:f>AVERAGE('Respondent Scale Means'!C9:F9)</x:f>
        <x:v>1.0625</x:v>
      </x:c>
      <x:c r="E19" s="17" t="n">
        <x:f>STDEV.S('Respondent Scale Means'!C9:F9)</x:f>
        <x:v>0.3145764348029479</x:v>
      </x:c>
      <x:c r="F19" s="17" t="n">
        <x:f>E19/SQRT(C19)</x:f>
        <x:v>0.15728821740147395</x:v>
      </x:c>
      <x:c r="G19" s="17" t="n">
        <x:f>D19-3.182446305284263*F19</x:f>
        <x:v>0.5619386936659313</x:v>
      </x:c>
      <x:c r="H19" s="17" t="n">
        <x:f>D19+3.182446305284263*F19</x:f>
        <x:v>1.5630613063340686</x:v>
      </x:c>
      <x:c r="I19" s="17" t="n">
        <x:f>(4/(4-1))*(1-(VAR.S('Transformed Scores'!F$4:F$7)+VAR.S('Transformed Scores'!M$4:M$7)+VAR.S('Transformed Scores'!R$4:R$7)+VAR.S('Transformed Scores'!AC$4:AC$7))/VAR.S('Respondent Scale Means'!G9:J9))</x:f>
        <x:v>-2.245614035087719</x:v>
      </x:c>
      <x:c r="J19" s="18" t="n">
        <x:f>MAX(0,$B$9-D19)</x:f>
        <x:v>0.05750000000000011</x:v>
      </x:c>
    </x:row>
    <x:row r="20">
      <x:c r="A20" s="11" t="str">
        <x:v>info-yu</x:v>
      </x:c>
      <x:c r="B20" s="12" t="str">
        <x:v>Attractiveness</x:v>
      </x:c>
      <x:c r="C20" s="12" t="n">
        <x:f>COUNT('Respondent Scale Means'!C10:F10)</x:f>
        <x:v>4</x:v>
      </x:c>
      <x:c r="D20" s="17" t="n">
        <x:f>AVERAGE('Respondent Scale Means'!C10:F10)</x:f>
        <x:v>0.375</x:v>
      </x:c>
      <x:c r="E20" s="17" t="n">
        <x:f>STDEV.S('Respondent Scale Means'!C10:F10)</x:f>
        <x:v>0.8319432851039965</x:v>
      </x:c>
      <x:c r="F20" s="17" t="n">
        <x:f>E20/SQRT(C20)</x:f>
        <x:v>0.41597164255199826</x:v>
      </x:c>
      <x:c r="G20" s="17" t="n">
        <x:f>D20-3.182446305284263*F20</x:f>
        <x:v>-0.9488074169426328</x:v>
      </x:c>
      <x:c r="H20" s="17" t="n">
        <x:f>D20+3.182446305284263*F20</x:f>
        <x:v>1.6988074169426328</x:v>
      </x:c>
      <x:c r="I20" s="17" t="n">
        <x:f>(6/(6-1))*(1-(VAR.S('Transformed Scores'!D$9:D$12)+VAR.S('Transformed Scores'!O$9:O$12)+VAR.S('Transformed Scores'!Q$9:Q$12)+VAR.S('Transformed Scores'!S$9:S$12)+VAR.S('Transformed Scores'!AA$9:AA$12)+VAR.S('Transformed Scores'!AB$9:AB$12))/VAR.S('Respondent Scale Means'!G10:J10))</x:f>
        <x:v>0.7625418060200669</x:v>
      </x:c>
      <x:c r="J20" s="18" t="n">
        <x:f>MAX(0,$B$4-D20)</x:f>
        <x:v>1.205</x:v>
      </x:c>
    </x:row>
    <x:row r="21">
      <x:c r="A21" s="11" t="str">
        <x:v>info-yu</x:v>
      </x:c>
      <x:c r="B21" s="12" t="str">
        <x:v>Perspicuity</x:v>
      </x:c>
      <x:c r="C21" s="12" t="n">
        <x:f>COUNT('Respondent Scale Means'!C11:F11)</x:f>
        <x:v>4</x:v>
      </x:c>
      <x:c r="D21" s="17" t="n">
        <x:f>AVERAGE('Respondent Scale Means'!C11:F11)</x:f>
        <x:v>0.6875</x:v>
      </x:c>
      <x:c r="E21" s="17" t="n">
        <x:f>STDEV.S('Respondent Scale Means'!C11:F11)</x:f>
        <x:v>0.590726953281576</x:v>
      </x:c>
      <x:c r="F21" s="17" t="n">
        <x:f>E21/SQRT(C21)</x:f>
        <x:v>0.295363476640788</x:v>
      </x:c>
      <x:c r="G21" s="17" t="n">
        <x:f>D21-3.182446305284263*F21</x:f>
        <x:v>-0.2524784049513904</x:v>
      </x:c>
      <x:c r="H21" s="17" t="n">
        <x:f>D21+3.182446305284263*F21</x:f>
        <x:v>1.6274784049513904</x:v>
      </x:c>
      <x:c r="I21" s="17" t="n">
        <x:f>(4/(4-1))*(1-(VAR.S('Transformed Scores'!E$9:E$12)+VAR.S('Transformed Scores'!G$9:G$12)+VAR.S('Transformed Scores'!P$9:P$12)+VAR.S('Transformed Scores'!X$9:X$12))/VAR.S('Respondent Scale Means'!G11:J11))</x:f>
        <x:v>-0.03980099502487573</x:v>
      </x:c>
      <x:c r="J21" s="18" t="n">
        <x:f>MAX(0,$B$5-D21)</x:f>
        <x:v>1.0425</x:v>
      </x:c>
    </x:row>
    <x:row r="22">
      <x:c r="A22" s="11" t="str">
        <x:v>info-yu</x:v>
      </x:c>
      <x:c r="B22" s="12" t="str">
        <x:v>Efficiency</x:v>
      </x:c>
      <x:c r="C22" s="12" t="n">
        <x:f>COUNT('Respondent Scale Means'!C12:F12)</x:f>
        <x:v>4</x:v>
      </x:c>
      <x:c r="D22" s="17" t="n">
        <x:f>AVERAGE('Respondent Scale Means'!C12:F12)</x:f>
        <x:v>0.5625</x:v>
      </x:c>
      <x:c r="E22" s="17" t="n">
        <x:f>STDEV.S('Respondent Scale Means'!C12:F12)</x:f>
        <x:v>0.6574889099191459</x:v>
      </x:c>
      <x:c r="F22" s="17" t="n">
        <x:f>E22/SQRT(C22)</x:f>
        <x:v>0.32874445495957294</x:v>
      </x:c>
      <x:c r="G22" s="17" t="n">
        <x:f>D22-3.182446305284263*F22</x:f>
        <x:v>-0.48371157606878157</x:v>
      </x:c>
      <x:c r="H22" s="17" t="n">
        <x:f>D22+3.182446305284263*F22</x:f>
        <x:v>1.6087115760687816</x:v>
      </x:c>
      <x:c r="I22" s="17" t="n">
        <x:f>(4/(4-1))*(1-(VAR.S('Transformed Scores'!L$9:L$12)+VAR.S('Transformed Scores'!W$9:W$12)+VAR.S('Transformed Scores'!Y$9:Y$12)+VAR.S('Transformed Scores'!Z$9:Z$12))/VAR.S('Respondent Scale Means'!G12:J12))</x:f>
        <x:v>0.06425702811245015</x:v>
      </x:c>
      <x:c r="J22" s="18" t="n">
        <x:f>MAX(0,$B$6-D22)</x:f>
        <x:v>0.9375</x:v>
      </x:c>
    </x:row>
    <x:row r="23">
      <x:c r="A23" s="11" t="str">
        <x:v>info-yu</x:v>
      </x:c>
      <x:c r="B23" s="12" t="str">
        <x:v>Dependability</x:v>
      </x:c>
      <x:c r="C23" s="12" t="n">
        <x:f>COUNT('Respondent Scale Means'!C13:F13)</x:f>
        <x:v>4</x:v>
      </x:c>
      <x:c r="D23" s="17" t="n">
        <x:f>AVERAGE('Respondent Scale Means'!C13:F13)</x:f>
        <x:v>0.1875</x:v>
      </x:c>
      <x:c r="E23" s="17" t="n">
        <x:f>STDEV.S('Respondent Scale Means'!C13:F13)</x:f>
        <x:v>0.9437293044088437</x:v>
      </x:c>
      <x:c r="F23" s="17" t="n">
        <x:f>E23/SQRT(C23)</x:f>
        <x:v>0.47186465220442186</x:v>
      </x:c>
      <x:c r="G23" s="17" t="n">
        <x:f>D23-3.182446305284263*F23</x:f>
        <x:v>-1.314183919002206</x:v>
      </x:c>
      <x:c r="H23" s="17" t="n">
        <x:f>D23+3.182446305284263*F23</x:f>
        <x:v>1.689183919002206</x:v>
      </x:c>
      <x:c r="I23" s="17" t="n">
        <x:f>(4/(4-1))*(1-(VAR.S('Transformed Scores'!K$9:K$12)+VAR.S('Transformed Scores'!N$9:N$12)+VAR.S('Transformed Scores'!T$9:T$12)+VAR.S('Transformed Scores'!V$9:V$12))/VAR.S('Respondent Scale Means'!G13:J13))</x:f>
        <x:v>0.6393762183235867</x:v>
      </x:c>
      <x:c r="J23" s="18" t="n">
        <x:f>MAX(0,$B$7-D23)</x:f>
        <x:v>1.2925</x:v>
      </x:c>
    </x:row>
    <x:row r="24">
      <x:c r="A24" s="11" t="str">
        <x:v>info-yu</x:v>
      </x:c>
      <x:c r="B24" s="12" t="str">
        <x:v>Stimulation</x:v>
      </x:c>
      <x:c r="C24" s="12" t="n">
        <x:f>COUNT('Respondent Scale Means'!C14:F14)</x:f>
        <x:v>4</x:v>
      </x:c>
      <x:c r="D24" s="17" t="n">
        <x:f>AVERAGE('Respondent Scale Means'!C14:F14)</x:f>
        <x:v>0.75</x:v>
      </x:c>
      <x:c r="E24" s="17" t="n">
        <x:f>STDEV.S('Respondent Scale Means'!C14:F14)</x:f>
        <x:v>0.5400617248673217</x:v>
      </x:c>
      <x:c r="F24" s="17" t="n">
        <x:f>E24/SQRT(C24)</x:f>
        <x:v>0.27003086243366087</x:v>
      </x:c>
      <x:c r="G24" s="17" t="n">
        <x:f>D24-3.182446305284263*F24</x:f>
        <x:v>-0.10935872046472705</x:v>
      </x:c>
      <x:c r="H24" s="17" t="n">
        <x:f>D24+3.182446305284263*F24</x:f>
        <x:v>1.609358720464727</x:v>
      </x:c>
      <x:c r="I24" s="17" t="n">
        <x:f>(4/(4-1))*(1-(VAR.S('Transformed Scores'!H$9:H$12)+VAR.S('Transformed Scores'!I$9:I$12)+VAR.S('Transformed Scores'!J$9:J$12)+VAR.S('Transformed Scores'!U$9:U$12))/VAR.S('Respondent Scale Means'!G14:J14))</x:f>
        <x:v>-0.2857142857142856</x:v>
      </x:c>
      <x:c r="J24" s="18" t="n">
        <x:f>MAX(0,$B$8-D24)</x:f>
        <x:v>0.6000000000000001</x:v>
      </x:c>
    </x:row>
    <x:row r="25">
      <x:c r="A25" s="14" t="str">
        <x:v>info-yu</x:v>
      </x:c>
      <x:c r="B25" s="15" t="str">
        <x:v>Novelty</x:v>
      </x:c>
      <x:c r="C25" s="15" t="n">
        <x:f>COUNT('Respondent Scale Means'!C15:F15)</x:f>
        <x:v>4</x:v>
      </x:c>
      <x:c r="D25" s="19" t="n">
        <x:f>AVERAGE('Respondent Scale Means'!C15:F15)</x:f>
        <x:v>0.4375</x:v>
      </x:c>
      <x:c r="E25" s="19" t="n">
        <x:f>STDEV.S('Respondent Scale Means'!C15:F15)</x:f>
        <x:v>0.625</x:v>
      </x:c>
      <x:c r="F25" s="19" t="n">
        <x:f>E25/SQRT(C25)</x:f>
        <x:v>0.3125</x:v>
      </x:c>
      <x:c r="G25" s="19" t="n">
        <x:f>D25-3.182446305284263*F25</x:f>
        <x:v>-0.5570144704013321</x:v>
      </x:c>
      <x:c r="H25" s="19" t="n">
        <x:f>D25+3.182446305284263*F25</x:f>
        <x:v>1.4320144704013322</x:v>
      </x:c>
      <x:c r="I25" s="19" t="n">
        <x:f>(4/(4-1))*(1-(VAR.S('Transformed Scores'!F$9:F$12)+VAR.S('Transformed Scores'!M$9:M$12)+VAR.S('Transformed Scores'!R$9:R$12)+VAR.S('Transformed Scores'!AC$9:AC$12))/VAR.S('Respondent Scale Means'!G15:J15))</x:f>
        <x:v>-0.07111111111111097</x:v>
      </x:c>
      <x:c r="J25" s="20" t="n">
        <x:f>MAX(0,$B$9-D25)</x:f>
        <x:v>0.6825000000000001</x:v>
      </x:c>
    </x:row>
    <x:row r="27">
      <x:c r="A27" s="22" t="str">
        <x:v>Cronbach alpha reflects the heterogeneous fixture responses; Gap to Good is formula-derived from the matching threshold and UEQ mean.</x:v>
      </x:c>
      <x:c r="B27" s="22"/>
      <x:c r="C27" s="22"/>
      <x:c r="D27" s="22"/>
      <x:c r="E27" s="22"/>
      <x:c r="F27" s="22"/>
      <x:c r="G27" s="22"/>
      <x:c r="H27" s="22"/>
      <x:c r="I27" s="22"/>
      <x:c r="J27" s="22"/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3" hidden="0" customWidth="1"/>
    <x:col min="3" max="3" width="23" hidden="0" customWidth="1"/>
    <x:col min="4" max="4" width="11" hidden="0" customWidth="1"/>
    <x:col min="5" max="5" width="10.25" hidden="0" customWidth="1"/>
  </x:cols>
  <x:sheetData>
    <x:row r="1">
      <x:c r="A1" s="3" t="str">
        <x:v>UEQ-ID-26-v1 item mapping</x:v>
      </x:c>
      <x:c r="B1" s="3"/>
      <x:c r="C1" s="3"/>
      <x:c r="D1" s="3"/>
      <x:c r="E1" s="3"/>
    </x:row>
    <x:row r="3">
      <x:c r="A3" s="8" t="str">
        <x:v>Order</x:v>
      </x:c>
      <x:c r="B3" s="9" t="str">
        <x:v>Left label</x:v>
      </x:c>
      <x:c r="C3" s="9" t="str">
        <x:v>Right label</x:v>
      </x:c>
      <x:c r="D3" s="9" t="str">
        <x:v>Scale</x:v>
      </x:c>
      <x:c r="E3" s="10" t="str">
        <x:v>Positive pole</x:v>
      </x:c>
    </x:row>
    <x:row r="4">
      <x:c r="A4" s="11" t="n">
        <x:v>1</x:v>
      </x:c>
      <x:c r="B4" s="12" t="str">
        <x:v>menyusahkan</x:v>
      </x:c>
      <x:c r="C4" s="12" t="str">
        <x:v>menyenangkan</x:v>
      </x:c>
      <x:c r="D4" s="12" t="str">
        <x:v>Attractiveness</x:v>
      </x:c>
      <x:c r="E4" s="13" t="str">
        <x:v>right</x:v>
      </x:c>
    </x:row>
    <x:row r="5">
      <x:c r="A5" s="11" t="n">
        <x:v>2</x:v>
      </x:c>
      <x:c r="B5" s="12" t="str">
        <x:v>tak dapat dipahami</x:v>
      </x:c>
      <x:c r="C5" s="12" t="str">
        <x:v>dapat dipahami</x:v>
      </x:c>
      <x:c r="D5" s="12" t="str">
        <x:v>Perspicuity</x:v>
      </x:c>
      <x:c r="E5" s="13" t="str">
        <x:v>right</x:v>
      </x:c>
    </x:row>
    <x:row r="6">
      <x:c r="A6" s="11" t="n">
        <x:v>3</x:v>
      </x:c>
      <x:c r="B6" s="12" t="str">
        <x:v>kreatif</x:v>
      </x:c>
      <x:c r="C6" s="12" t="str">
        <x:v>monoton</x:v>
      </x:c>
      <x:c r="D6" s="12" t="str">
        <x:v>Novelty</x:v>
      </x:c>
      <x:c r="E6" s="13" t="str">
        <x:v>left</x:v>
      </x:c>
    </x:row>
    <x:row r="7">
      <x:c r="A7" s="11" t="n">
        <x:v>4</x:v>
      </x:c>
      <x:c r="B7" s="12" t="str">
        <x:v>mudah dipelajari</x:v>
      </x:c>
      <x:c r="C7" s="12" t="str">
        <x:v>sulit dipelajari</x:v>
      </x:c>
      <x:c r="D7" s="12" t="str">
        <x:v>Perspicuity</x:v>
      </x:c>
      <x:c r="E7" s="13" t="str">
        <x:v>left</x:v>
      </x:c>
    </x:row>
    <x:row r="8">
      <x:c r="A8" s="11" t="n">
        <x:v>5</x:v>
      </x:c>
      <x:c r="B8" s="12" t="str">
        <x:v>bermanfaat</x:v>
      </x:c>
      <x:c r="C8" s="12" t="str">
        <x:v>kurang bermanfaat</x:v>
      </x:c>
      <x:c r="D8" s="12" t="str">
        <x:v>Stimulation</x:v>
      </x:c>
      <x:c r="E8" s="13" t="str">
        <x:v>left</x:v>
      </x:c>
    </x:row>
    <x:row r="9">
      <x:c r="A9" s="11" t="n">
        <x:v>6</x:v>
      </x:c>
      <x:c r="B9" s="12" t="str">
        <x:v>membosankan</x:v>
      </x:c>
      <x:c r="C9" s="12" t="str">
        <x:v>mengasyikkan</x:v>
      </x:c>
      <x:c r="D9" s="12" t="str">
        <x:v>Stimulation</x:v>
      </x:c>
      <x:c r="E9" s="13" t="str">
        <x:v>right</x:v>
      </x:c>
    </x:row>
    <x:row r="10">
      <x:c r="A10" s="11" t="n">
        <x:v>7</x:v>
      </x:c>
      <x:c r="B10" s="12" t="str">
        <x:v>tidak menarik</x:v>
      </x:c>
      <x:c r="C10" s="12" t="str">
        <x:v>menarik</x:v>
      </x:c>
      <x:c r="D10" s="12" t="str">
        <x:v>Stimulation</x:v>
      </x:c>
      <x:c r="E10" s="13" t="str">
        <x:v>right</x:v>
      </x:c>
    </x:row>
    <x:row r="11">
      <x:c r="A11" s="11" t="n">
        <x:v>8</x:v>
      </x:c>
      <x:c r="B11" s="12" t="str">
        <x:v>tak dapat diprediksi</x:v>
      </x:c>
      <x:c r="C11" s="12" t="str">
        <x:v>dapat diprediksi</x:v>
      </x:c>
      <x:c r="D11" s="12" t="str">
        <x:v>Dependability</x:v>
      </x:c>
      <x:c r="E11" s="13" t="str">
        <x:v>right</x:v>
      </x:c>
    </x:row>
    <x:row r="12">
      <x:c r="A12" s="11" t="n">
        <x:v>9</x:v>
      </x:c>
      <x:c r="B12" s="12" t="str">
        <x:v>cepat</x:v>
      </x:c>
      <x:c r="C12" s="12" t="str">
        <x:v>lambat</x:v>
      </x:c>
      <x:c r="D12" s="12" t="str">
        <x:v>Efficiency</x:v>
      </x:c>
      <x:c r="E12" s="13" t="str">
        <x:v>left</x:v>
      </x:c>
    </x:row>
    <x:row r="13">
      <x:c r="A13" s="11" t="n">
        <x:v>10</x:v>
      </x:c>
      <x:c r="B13" s="12" t="str">
        <x:v>berdaya cipta</x:v>
      </x:c>
      <x:c r="C13" s="12" t="str">
        <x:v>konvensional</x:v>
      </x:c>
      <x:c r="D13" s="12" t="str">
        <x:v>Novelty</x:v>
      </x:c>
      <x:c r="E13" s="13" t="str">
        <x:v>left</x:v>
      </x:c>
    </x:row>
    <x:row r="14">
      <x:c r="A14" s="11" t="n">
        <x:v>11</x:v>
      </x:c>
      <x:c r="B14" s="12" t="str">
        <x:v>menghalangi</x:v>
      </x:c>
      <x:c r="C14" s="12" t="str">
        <x:v>mendukung</x:v>
      </x:c>
      <x:c r="D14" s="12" t="str">
        <x:v>Dependability</x:v>
      </x:c>
      <x:c r="E14" s="13" t="str">
        <x:v>right</x:v>
      </x:c>
    </x:row>
    <x:row r="15">
      <x:c r="A15" s="11" t="n">
        <x:v>12</x:v>
      </x:c>
      <x:c r="B15" s="12" t="str">
        <x:v>baik</x:v>
      </x:c>
      <x:c r="C15" s="12" t="str">
        <x:v>buruk</x:v>
      </x:c>
      <x:c r="D15" s="12" t="str">
        <x:v>Attractiveness</x:v>
      </x:c>
      <x:c r="E15" s="13" t="str">
        <x:v>left</x:v>
      </x:c>
    </x:row>
    <x:row r="16">
      <x:c r="A16" s="11" t="n">
        <x:v>13</x:v>
      </x:c>
      <x:c r="B16" s="12" t="str">
        <x:v>rumit</x:v>
      </x:c>
      <x:c r="C16" s="12" t="str">
        <x:v>sederhana</x:v>
      </x:c>
      <x:c r="D16" s="12" t="str">
        <x:v>Perspicuity</x:v>
      </x:c>
      <x:c r="E16" s="13" t="str">
        <x:v>right</x:v>
      </x:c>
    </x:row>
    <x:row r="17">
      <x:c r="A17" s="11" t="n">
        <x:v>14</x:v>
      </x:c>
      <x:c r="B17" s="12" t="str">
        <x:v>tidak disukai</x:v>
      </x:c>
      <x:c r="C17" s="12" t="str">
        <x:v>menggembirakan</x:v>
      </x:c>
      <x:c r="D17" s="12" t="str">
        <x:v>Attractiveness</x:v>
      </x:c>
      <x:c r="E17" s="13" t="str">
        <x:v>right</x:v>
      </x:c>
    </x:row>
    <x:row r="18">
      <x:c r="A18" s="11" t="n">
        <x:v>15</x:v>
      </x:c>
      <x:c r="B18" s="12" t="str">
        <x:v>lazim</x:v>
      </x:c>
      <x:c r="C18" s="12" t="str">
        <x:v>terdepan</x:v>
      </x:c>
      <x:c r="D18" s="12" t="str">
        <x:v>Novelty</x:v>
      </x:c>
      <x:c r="E18" s="13" t="str">
        <x:v>right</x:v>
      </x:c>
    </x:row>
    <x:row r="19">
      <x:c r="A19" s="11" t="n">
        <x:v>16</x:v>
      </x:c>
      <x:c r="B19" s="12" t="str">
        <x:v>tidak nyaman</x:v>
      </x:c>
      <x:c r="C19" s="12" t="str">
        <x:v>nyaman</x:v>
      </x:c>
      <x:c r="D19" s="12" t="str">
        <x:v>Attractiveness</x:v>
      </x:c>
      <x:c r="E19" s="13" t="str">
        <x:v>right</x:v>
      </x:c>
    </x:row>
    <x:row r="20">
      <x:c r="A20" s="11" t="n">
        <x:v>17</x:v>
      </x:c>
      <x:c r="B20" s="12" t="str">
        <x:v>aman</x:v>
      </x:c>
      <x:c r="C20" s="12" t="str">
        <x:v>tidak aman</x:v>
      </x:c>
      <x:c r="D20" s="12" t="str">
        <x:v>Dependability</x:v>
      </x:c>
      <x:c r="E20" s="13" t="str">
        <x:v>left</x:v>
      </x:c>
    </x:row>
    <x:row r="21">
      <x:c r="A21" s="11" t="n">
        <x:v>18</x:v>
      </x:c>
      <x:c r="B21" s="12" t="str">
        <x:v>memotivasi</x:v>
      </x:c>
      <x:c r="C21" s="12" t="str">
        <x:v>tidak memotivasi</x:v>
      </x:c>
      <x:c r="D21" s="12" t="str">
        <x:v>Stimulation</x:v>
      </x:c>
      <x:c r="E21" s="13" t="str">
        <x:v>left</x:v>
      </x:c>
    </x:row>
    <x:row r="22">
      <x:c r="A22" s="11" t="n">
        <x:v>19</x:v>
      </x:c>
      <x:c r="B22" s="12" t="str">
        <x:v>memenuhi ekspektasi</x:v>
      </x:c>
      <x:c r="C22" s="12" t="str">
        <x:v>tidak memenuhi ekspektasi</x:v>
      </x:c>
      <x:c r="D22" s="12" t="str">
        <x:v>Dependability</x:v>
      </x:c>
      <x:c r="E22" s="13" t="str">
        <x:v>left</x:v>
      </x:c>
    </x:row>
    <x:row r="23">
      <x:c r="A23" s="11" t="n">
        <x:v>20</x:v>
      </x:c>
      <x:c r="B23" s="12" t="str">
        <x:v>tidak efisien</x:v>
      </x:c>
      <x:c r="C23" s="12" t="str">
        <x:v>efisien</x:v>
      </x:c>
      <x:c r="D23" s="12" t="str">
        <x:v>Efficiency</x:v>
      </x:c>
      <x:c r="E23" s="13" t="str">
        <x:v>right</x:v>
      </x:c>
    </x:row>
    <x:row r="24">
      <x:c r="A24" s="11" t="n">
        <x:v>21</x:v>
      </x:c>
      <x:c r="B24" s="12" t="str">
        <x:v>jelas</x:v>
      </x:c>
      <x:c r="C24" s="12" t="str">
        <x:v>membingungkan</x:v>
      </x:c>
      <x:c r="D24" s="12" t="str">
        <x:v>Perspicuity</x:v>
      </x:c>
      <x:c r="E24" s="13" t="str">
        <x:v>left</x:v>
      </x:c>
    </x:row>
    <x:row r="25">
      <x:c r="A25" s="11" t="n">
        <x:v>22</x:v>
      </x:c>
      <x:c r="B25" s="12" t="str">
        <x:v>tidak praktis</x:v>
      </x:c>
      <x:c r="C25" s="12" t="str">
        <x:v>praktis</x:v>
      </x:c>
      <x:c r="D25" s="12" t="str">
        <x:v>Efficiency</x:v>
      </x:c>
      <x:c r="E25" s="13" t="str">
        <x:v>right</x:v>
      </x:c>
    </x:row>
    <x:row r="26">
      <x:c r="A26" s="11" t="n">
        <x:v>23</x:v>
      </x:c>
      <x:c r="B26" s="12" t="str">
        <x:v>terorganisasi</x:v>
      </x:c>
      <x:c r="C26" s="12" t="str">
        <x:v>berantakan</x:v>
      </x:c>
      <x:c r="D26" s="12" t="str">
        <x:v>Efficiency</x:v>
      </x:c>
      <x:c r="E26" s="13" t="str">
        <x:v>left</x:v>
      </x:c>
    </x:row>
    <x:row r="27">
      <x:c r="A27" s="11" t="n">
        <x:v>24</x:v>
      </x:c>
      <x:c r="B27" s="12" t="str">
        <x:v>atraktif</x:v>
      </x:c>
      <x:c r="C27" s="12" t="str">
        <x:v>tidak atraktif</x:v>
      </x:c>
      <x:c r="D27" s="12" t="str">
        <x:v>Attractiveness</x:v>
      </x:c>
      <x:c r="E27" s="13" t="str">
        <x:v>left</x:v>
      </x:c>
    </x:row>
    <x:row r="28">
      <x:c r="A28" s="11" t="n">
        <x:v>25</x:v>
      </x:c>
      <x:c r="B28" s="12" t="str">
        <x:v>ramah pengguna</x:v>
      </x:c>
      <x:c r="C28" s="12" t="str">
        <x:v>tidak ramah pengguna</x:v>
      </x:c>
      <x:c r="D28" s="12" t="str">
        <x:v>Attractiveness</x:v>
      </x:c>
      <x:c r="E28" s="13" t="str">
        <x:v>left</x:v>
      </x:c>
    </x:row>
    <x:row r="29">
      <x:c r="A29" s="14" t="n">
        <x:v>26</x:v>
      </x:c>
      <x:c r="B29" s="15" t="str">
        <x:v>konservatif</x:v>
      </x:c>
      <x:c r="C29" s="15" t="str">
        <x:v>inovatif</x:v>
      </x:c>
      <x:c r="D29" s="15" t="str">
        <x:v>Novelty</x:v>
      </x:c>
      <x:c r="E29" s="16" t="str">
        <x:v>right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</x:cols>
  <x:sheetData>
    <x:row r="1">
      <x:c r="A1" s="3" t="str">
        <x:v>Immutable raw answers (decision controls inclusion; scores are not changed)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</x:row>
    <x:row r="3">
      <x:c r="A3" s="8" t="str">
        <x:v>Submission</x:v>
      </x:c>
      <x:c r="B3" s="9" t="str">
        <x:v>Unit</x:v>
      </x:c>
      <x:c r="C3" s="9" t="str">
        <x:v>Decision</x:v>
      </x:c>
      <x:c r="D3" s="9" t="str">
        <x:v>Q1</x:v>
      </x:c>
      <x:c r="E3" s="9" t="str">
        <x:v>Q2</x:v>
      </x:c>
      <x:c r="F3" s="9" t="str">
        <x:v>Q3</x:v>
      </x:c>
      <x:c r="G3" s="9" t="str">
        <x:v>Q4</x:v>
      </x:c>
      <x:c r="H3" s="9" t="str">
        <x:v>Q5</x:v>
      </x:c>
      <x:c r="I3" s="9" t="str">
        <x:v>Q6</x:v>
      </x:c>
      <x:c r="J3" s="9" t="str">
        <x:v>Q7</x:v>
      </x:c>
      <x:c r="K3" s="9" t="str">
        <x:v>Q8</x:v>
      </x:c>
      <x:c r="L3" s="9" t="str">
        <x:v>Q9</x:v>
      </x:c>
      <x:c r="M3" s="9" t="str">
        <x:v>Q10</x:v>
      </x:c>
      <x:c r="N3" s="9" t="str">
        <x:v>Q11</x:v>
      </x:c>
      <x:c r="O3" s="9" t="str">
        <x:v>Q12</x:v>
      </x:c>
      <x:c r="P3" s="9" t="str">
        <x:v>Q13</x:v>
      </x:c>
      <x:c r="Q3" s="9" t="str">
        <x:v>Q14</x:v>
      </x:c>
      <x:c r="R3" s="9" t="str">
        <x:v>Q15</x:v>
      </x:c>
      <x:c r="S3" s="9" t="str">
        <x:v>Q16</x:v>
      </x:c>
      <x:c r="T3" s="9" t="str">
        <x:v>Q17</x:v>
      </x:c>
      <x:c r="U3" s="9" t="str">
        <x:v>Q18</x:v>
      </x:c>
      <x:c r="V3" s="9" t="str">
        <x:v>Q19</x:v>
      </x:c>
      <x:c r="W3" s="9" t="str">
        <x:v>Q20</x:v>
      </x:c>
      <x:c r="X3" s="9" t="str">
        <x:v>Q21</x:v>
      </x:c>
      <x:c r="Y3" s="9" t="str">
        <x:v>Q22</x:v>
      </x:c>
      <x:c r="Z3" s="9" t="str">
        <x:v>Q23</x:v>
      </x:c>
      <x:c r="AA3" s="9" t="str">
        <x:v>Q24</x:v>
      </x:c>
      <x:c r="AB3" s="9" t="str">
        <x:v>Q25</x:v>
      </x:c>
      <x:c r="AC3" s="10" t="str">
        <x:v>Q26</x:v>
      </x:c>
    </x:row>
    <x:row r="4">
      <x:c r="A4" s="11" t="str">
        <x:v>IB-01</x:v>
      </x:c>
      <x:c r="B4" s="12" t="str">
        <x:v>ibadah-yu</x:v>
      </x:c>
      <x:c r="C4" s="12" t="str">
        <x:v>included</x:v>
      </x:c>
      <x:c r="D4" s="12" t="n">
        <x:v>7</x:v>
      </x:c>
      <x:c r="E4" s="12" t="n">
        <x:v>6</x:v>
      </x:c>
      <x:c r="F4" s="12" t="n">
        <x:v>1</x:v>
      </x:c>
      <x:c r="G4" s="12" t="n">
        <x:v>2</x:v>
      </x:c>
      <x:c r="H4" s="12" t="n">
        <x:v>1</x:v>
      </x:c>
      <x:c r="I4" s="12" t="n">
        <x:v>6</x:v>
      </x:c>
      <x:c r="J4" s="12" t="n">
        <x:v>5</x:v>
      </x:c>
      <x:c r="K4" s="12" t="n">
        <x:v>6</x:v>
      </x:c>
      <x:c r="L4" s="12" t="n">
        <x:v>2</x:v>
      </x:c>
      <x:c r="M4" s="12" t="n">
        <x:v>2</x:v>
      </x:c>
      <x:c r="N4" s="12" t="n">
        <x:v>6</x:v>
      </x:c>
      <x:c r="O4" s="12" t="n">
        <x:v>2</x:v>
      </x:c>
      <x:c r="P4" s="12" t="n">
        <x:v>5</x:v>
      </x:c>
      <x:c r="Q4" s="12" t="n">
        <x:v>5</x:v>
      </x:c>
      <x:c r="R4" s="12" t="n">
        <x:v>5</x:v>
      </x:c>
      <x:c r="S4" s="12" t="n">
        <x:v>5</x:v>
      </x:c>
      <x:c r="T4" s="12" t="n">
        <x:v>3</x:v>
      </x:c>
      <x:c r="U4" s="12" t="n">
        <x:v>4</x:v>
      </x:c>
      <x:c r="V4" s="12" t="n">
        <x:v>4</x:v>
      </x:c>
      <x:c r="W4" s="12" t="n">
        <x:v>6</x:v>
      </x:c>
      <x:c r="X4" s="12" t="n">
        <x:v>4</x:v>
      </x:c>
      <x:c r="Y4" s="12" t="n">
        <x:v>5</x:v>
      </x:c>
      <x:c r="Z4" s="12" t="n">
        <x:v>4</x:v>
      </x:c>
      <x:c r="AA4" s="12" t="n">
        <x:v>2</x:v>
      </x:c>
      <x:c r="AB4" s="12" t="n">
        <x:v>3</x:v>
      </x:c>
      <x:c r="AC4" s="13" t="n">
        <x:v>4</x:v>
      </x:c>
    </x:row>
    <x:row r="5">
      <x:c r="A5" s="11" t="str">
        <x:v>IB-02</x:v>
      </x:c>
      <x:c r="B5" s="12" t="str">
        <x:v>ibadah-yu</x:v>
      </x:c>
      <x:c r="C5" s="12" t="str">
        <x:v>included</x:v>
      </x:c>
      <x:c r="D5" s="12" t="n">
        <x:v>5</x:v>
      </x:c>
      <x:c r="E5" s="12" t="n">
        <x:v>6</x:v>
      </x:c>
      <x:c r="F5" s="12" t="n">
        <x:v>3</x:v>
      </x:c>
      <x:c r="G5" s="12" t="n">
        <x:v>4</x:v>
      </x:c>
      <x:c r="H5" s="12" t="n">
        <x:v>2</x:v>
      </x:c>
      <x:c r="I5" s="12" t="n">
        <x:v>4</x:v>
      </x:c>
      <x:c r="J5" s="12" t="n">
        <x:v>7</x:v>
      </x:c>
      <x:c r="K5" s="12" t="n">
        <x:v>5</x:v>
      </x:c>
      <x:c r="L5" s="12" t="n">
        <x:v>3</x:v>
      </x:c>
      <x:c r="M5" s="12" t="n">
        <x:v>4</x:v>
      </x:c>
      <x:c r="N5" s="12" t="n">
        <x:v>3</x:v>
      </x:c>
      <x:c r="O5" s="12" t="n">
        <x:v>3</x:v>
      </x:c>
      <x:c r="P5" s="12" t="n">
        <x:v>6</x:v>
      </x:c>
      <x:c r="Q5" s="12" t="n">
        <x:v>6</x:v>
      </x:c>
      <x:c r="R5" s="12" t="n">
        <x:v>6</x:v>
      </x:c>
      <x:c r="S5" s="12" t="n">
        <x:v>5</x:v>
      </x:c>
      <x:c r="T5" s="12" t="n">
        <x:v>2</x:v>
      </x:c>
      <x:c r="U5" s="12" t="n">
        <x:v>2</x:v>
      </x:c>
      <x:c r="V5" s="12" t="n">
        <x:v>3</x:v>
      </x:c>
      <x:c r="W5" s="12" t="n">
        <x:v>4</x:v>
      </x:c>
      <x:c r="X5" s="12" t="n">
        <x:v>2</x:v>
      </x:c>
      <x:c r="Y5" s="12" t="n">
        <x:v>5</x:v>
      </x:c>
      <x:c r="Z5" s="12" t="n">
        <x:v>3</x:v>
      </x:c>
      <x:c r="AA5" s="12" t="n">
        <x:v>4</x:v>
      </x:c>
      <x:c r="AB5" s="12" t="n">
        <x:v>3</x:v>
      </x:c>
      <x:c r="AC5" s="13" t="n">
        <x:v>5</x:v>
      </x:c>
    </x:row>
    <x:row r="6">
      <x:c r="A6" s="11" t="str">
        <x:v>IB-03</x:v>
      </x:c>
      <x:c r="B6" s="12" t="str">
        <x:v>ibadah-yu</x:v>
      </x:c>
      <x:c r="C6" s="12" t="str">
        <x:v>included</x:v>
      </x:c>
      <x:c r="D6" s="12" t="n">
        <x:v>4</x:v>
      </x:c>
      <x:c r="E6" s="12" t="n">
        <x:v>4</x:v>
      </x:c>
      <x:c r="F6" s="12" t="n">
        <x:v>4</x:v>
      </x:c>
      <x:c r="G6" s="12" t="n">
        <x:v>2</x:v>
      </x:c>
      <x:c r="H6" s="12" t="n">
        <x:v>4</x:v>
      </x:c>
      <x:c r="I6" s="12" t="n">
        <x:v>6</x:v>
      </x:c>
      <x:c r="J6" s="12" t="n">
        <x:v>5</x:v>
      </x:c>
      <x:c r="K6" s="12" t="n">
        <x:v>3</x:v>
      </x:c>
      <x:c r="L6" s="12" t="n">
        <x:v>4</x:v>
      </x:c>
      <x:c r="M6" s="12" t="n">
        <x:v>3</x:v>
      </x:c>
      <x:c r="N6" s="12" t="n">
        <x:v>5</x:v>
      </x:c>
      <x:c r="O6" s="12" t="n">
        <x:v>3</x:v>
      </x:c>
      <x:c r="P6" s="12" t="n">
        <x:v>5</x:v>
      </x:c>
      <x:c r="Q6" s="12" t="n">
        <x:v>4</x:v>
      </x:c>
      <x:c r="R6" s="12" t="n">
        <x:v>5</x:v>
      </x:c>
      <x:c r="S6" s="12" t="n">
        <x:v>5</x:v>
      </x:c>
      <x:c r="T6" s="12" t="n">
        <x:v>4</x:v>
      </x:c>
      <x:c r="U6" s="12" t="n">
        <x:v>2</x:v>
      </x:c>
      <x:c r="V6" s="12" t="n">
        <x:v>3</x:v>
      </x:c>
      <x:c r="W6" s="12" t="n">
        <x:v>5</x:v>
      </x:c>
      <x:c r="X6" s="12" t="n">
        <x:v>2</x:v>
      </x:c>
      <x:c r="Y6" s="12" t="n">
        <x:v>5</x:v>
      </x:c>
      <x:c r="Z6" s="12" t="n">
        <x:v>2</x:v>
      </x:c>
      <x:c r="AA6" s="12" t="n">
        <x:v>3</x:v>
      </x:c>
      <x:c r="AB6" s="12" t="n">
        <x:v>3</x:v>
      </x:c>
      <x:c r="AC6" s="13" t="n">
        <x:v>6</x:v>
      </x:c>
    </x:row>
    <x:row r="7">
      <x:c r="A7" s="11" t="str">
        <x:v>IB-04</x:v>
      </x:c>
      <x:c r="B7" s="12" t="str">
        <x:v>ibadah-yu</x:v>
      </x:c>
      <x:c r="C7" s="12" t="str">
        <x:v>included</x:v>
      </x:c>
      <x:c r="D7" s="12" t="n">
        <x:v>4</x:v>
      </x:c>
      <x:c r="E7" s="12" t="n">
        <x:v>4</x:v>
      </x:c>
      <x:c r="F7" s="12" t="n">
        <x:v>4</x:v>
      </x:c>
      <x:c r="G7" s="12" t="n">
        <x:v>3</x:v>
      </x:c>
      <x:c r="H7" s="12" t="n">
        <x:v>4</x:v>
      </x:c>
      <x:c r="I7" s="12" t="n">
        <x:v>5</x:v>
      </x:c>
      <x:c r="J7" s="12" t="n">
        <x:v>4</x:v>
      </x:c>
      <x:c r="K7" s="12" t="n">
        <x:v>4</x:v>
      </x:c>
      <x:c r="L7" s="12" t="n">
        <x:v>4</x:v>
      </x:c>
      <x:c r="M7" s="12" t="n">
        <x:v>3</x:v>
      </x:c>
      <x:c r="N7" s="12" t="n">
        <x:v>5</x:v>
      </x:c>
      <x:c r="O7" s="12" t="n">
        <x:v>4</x:v>
      </x:c>
      <x:c r="P7" s="12" t="n">
        <x:v>4</x:v>
      </x:c>
      <x:c r="Q7" s="12" t="n">
        <x:v>5</x:v>
      </x:c>
      <x:c r="R7" s="12" t="n">
        <x:v>4</x:v>
      </x:c>
      <x:c r="S7" s="12" t="n">
        <x:v>5</x:v>
      </x:c>
      <x:c r="T7" s="12" t="n">
        <x:v>4</x:v>
      </x:c>
      <x:c r="U7" s="12" t="n">
        <x:v>3</x:v>
      </x:c>
      <x:c r="V7" s="12" t="n">
        <x:v>3</x:v>
      </x:c>
      <x:c r="W7" s="12" t="n">
        <x:v>5</x:v>
      </x:c>
      <x:c r="X7" s="12" t="n">
        <x:v>3</x:v>
      </x:c>
      <x:c r="Y7" s="12" t="n">
        <x:v>4</x:v>
      </x:c>
      <x:c r="Z7" s="12" t="n">
        <x:v>3</x:v>
      </x:c>
      <x:c r="AA7" s="12" t="n">
        <x:v>3</x:v>
      </x:c>
      <x:c r="AB7" s="12" t="n">
        <x:v>3</x:v>
      </x:c>
      <x:c r="AC7" s="13" t="n">
        <x:v>6</x:v>
      </x:c>
    </x:row>
    <x:row r="8">
      <x:c r="A8" s="11" t="str">
        <x:v>IB-05</x:v>
      </x:c>
      <x:c r="B8" s="12" t="str">
        <x:v>ibadah-yu</x:v>
      </x:c>
      <x:c r="C8" s="12" t="str">
        <x:v>excluded</x:v>
      </x:c>
      <x:c r="D8" s="12" t="n">
        <x:v>1</x:v>
      </x:c>
      <x:c r="E8" s="12" t="n">
        <x:v>1</x:v>
      </x:c>
      <x:c r="F8" s="12" t="n">
        <x:v>1</x:v>
      </x:c>
      <x:c r="G8" s="12" t="n">
        <x:v>1</x:v>
      </x:c>
      <x:c r="H8" s="12" t="n">
        <x:v>1</x:v>
      </x:c>
      <x:c r="I8" s="12" t="n">
        <x:v>1</x:v>
      </x:c>
      <x:c r="J8" s="12" t="n">
        <x:v>1</x:v>
      </x:c>
      <x:c r="K8" s="12" t="n">
        <x:v>1</x:v>
      </x:c>
      <x:c r="L8" s="12" t="n">
        <x:v>1</x:v>
      </x:c>
      <x:c r="M8" s="12" t="n">
        <x:v>1</x:v>
      </x:c>
      <x:c r="N8" s="12" t="n">
        <x:v>1</x:v>
      </x:c>
      <x:c r="O8" s="12" t="n">
        <x:v>1</x:v>
      </x:c>
      <x:c r="P8" s="12" t="n">
        <x:v>1</x:v>
      </x:c>
      <x:c r="Q8" s="12" t="n">
        <x:v>1</x:v>
      </x:c>
      <x:c r="R8" s="12" t="n">
        <x:v>1</x:v>
      </x:c>
      <x:c r="S8" s="12" t="n">
        <x:v>1</x:v>
      </x:c>
      <x:c r="T8" s="12" t="n">
        <x:v>1</x:v>
      </x:c>
      <x:c r="U8" s="12" t="n">
        <x:v>1</x:v>
      </x:c>
      <x:c r="V8" s="12" t="n">
        <x:v>1</x:v>
      </x:c>
      <x:c r="W8" s="12" t="n">
        <x:v>1</x:v>
      </x:c>
      <x:c r="X8" s="12" t="n">
        <x:v>1</x:v>
      </x:c>
      <x:c r="Y8" s="12" t="n">
        <x:v>1</x:v>
      </x:c>
      <x:c r="Z8" s="12" t="n">
        <x:v>1</x:v>
      </x:c>
      <x:c r="AA8" s="12" t="n">
        <x:v>1</x:v>
      </x:c>
      <x:c r="AB8" s="12" t="n">
        <x:v>1</x:v>
      </x:c>
      <x:c r="AC8" s="13" t="n">
        <x:v>1</x:v>
      </x:c>
    </x:row>
    <x:row r="9">
      <x:c r="A9" s="11" t="str">
        <x:v>IN-01</x:v>
      </x:c>
      <x:c r="B9" s="12" t="str">
        <x:v>info-yu</x:v>
      </x:c>
      <x:c r="C9" s="12" t="str">
        <x:v>included</x:v>
      </x:c>
      <x:c r="D9" s="12" t="n">
        <x:v>7</x:v>
      </x:c>
      <x:c r="E9" s="12" t="n">
        <x:v>7</x:v>
      </x:c>
      <x:c r="F9" s="12" t="n">
        <x:v>1</x:v>
      </x:c>
      <x:c r="G9" s="12" t="n">
        <x:v>2</x:v>
      </x:c>
      <x:c r="H9" s="12" t="n">
        <x:v>1</x:v>
      </x:c>
      <x:c r="I9" s="12" t="n">
        <x:v>6</x:v>
      </x:c>
      <x:c r="J9" s="12" t="n">
        <x:v>5</x:v>
      </x:c>
      <x:c r="K9" s="12" t="n">
        <x:v>7</x:v>
      </x:c>
      <x:c r="L9" s="12" t="n">
        <x:v>1</x:v>
      </x:c>
      <x:c r="M9" s="12" t="n">
        <x:v>2</x:v>
      </x:c>
      <x:c r="N9" s="12" t="n">
        <x:v>6</x:v>
      </x:c>
      <x:c r="O9" s="12" t="n">
        <x:v>2</x:v>
      </x:c>
      <x:c r="P9" s="12" t="n">
        <x:v>5</x:v>
      </x:c>
      <x:c r="Q9" s="12" t="n">
        <x:v>5</x:v>
      </x:c>
      <x:c r="R9" s="12" t="n">
        <x:v>4</x:v>
      </x:c>
      <x:c r="S9" s="12" t="n">
        <x:v>4</x:v>
      </x:c>
      <x:c r="T9" s="12" t="n">
        <x:v>3</x:v>
      </x:c>
      <x:c r="U9" s="12" t="n">
        <x:v>4</x:v>
      </x:c>
      <x:c r="V9" s="12" t="n">
        <x:v>4</x:v>
      </x:c>
      <x:c r="W9" s="12" t="n">
        <x:v>6</x:v>
      </x:c>
      <x:c r="X9" s="12" t="n">
        <x:v>4</x:v>
      </x:c>
      <x:c r="Y9" s="12" t="n">
        <x:v>5</x:v>
      </x:c>
      <x:c r="Z9" s="12" t="n">
        <x:v>4</x:v>
      </x:c>
      <x:c r="AA9" s="12" t="n">
        <x:v>2</x:v>
      </x:c>
      <x:c r="AB9" s="12" t="n">
        <x:v>3</x:v>
      </x:c>
      <x:c r="AC9" s="13" t="n">
        <x:v>4</x:v>
      </x:c>
    </x:row>
    <x:row r="10">
      <x:c r="A10" s="11" t="str">
        <x:v>IN-02</x:v>
      </x:c>
      <x:c r="B10" s="12" t="str">
        <x:v>info-yu</x:v>
      </x:c>
      <x:c r="C10" s="12" t="str">
        <x:v>included</x:v>
      </x:c>
      <x:c r="D10" s="12" t="n">
        <x:v>3</x:v>
      </x:c>
      <x:c r="E10" s="12" t="n">
        <x:v>5</x:v>
      </x:c>
      <x:c r="F10" s="12" t="n">
        <x:v>4</x:v>
      </x:c>
      <x:c r="G10" s="12" t="n">
        <x:v>5</x:v>
      </x:c>
      <x:c r="H10" s="12" t="n">
        <x:v>3</x:v>
      </x:c>
      <x:c r="I10" s="12" t="n">
        <x:v>3</x:v>
      </x:c>
      <x:c r="J10" s="12" t="n">
        <x:v>6</x:v>
      </x:c>
      <x:c r="K10" s="12" t="n">
        <x:v>3</x:v>
      </x:c>
      <x:c r="L10" s="12" t="n">
        <x:v>3</x:v>
      </x:c>
      <x:c r="M10" s="12" t="n">
        <x:v>6</x:v>
      </x:c>
      <x:c r="N10" s="12" t="n">
        <x:v>2</x:v>
      </x:c>
      <x:c r="O10" s="12" t="n">
        <x:v>5</x:v>
      </x:c>
      <x:c r="P10" s="12" t="n">
        <x:v>6</x:v>
      </x:c>
      <x:c r="Q10" s="12" t="n">
        <x:v>5</x:v>
      </x:c>
      <x:c r="R10" s="12" t="n">
        <x:v>5</x:v>
      </x:c>
      <x:c r="S10" s="12" t="n">
        <x:v>4</x:v>
      </x:c>
      <x:c r="T10" s="12" t="n">
        <x:v>3</x:v>
      </x:c>
      <x:c r="U10" s="12" t="n">
        <x:v>3</x:v>
      </x:c>
      <x:c r="V10" s="12" t="n">
        <x:v>4</x:v>
      </x:c>
      <x:c r="W10" s="12" t="n">
        <x:v>2</x:v>
      </x:c>
      <x:c r="X10" s="12" t="n">
        <x:v>3</x:v>
      </x:c>
      <x:c r="Y10" s="12" t="n">
        <x:v>5</x:v>
      </x:c>
      <x:c r="Z10" s="12" t="n">
        <x:v>4</x:v>
      </x:c>
      <x:c r="AA10" s="12" t="n">
        <x:v>5</x:v>
      </x:c>
      <x:c r="AB10" s="12" t="n">
        <x:v>4</x:v>
      </x:c>
      <x:c r="AC10" s="13" t="n">
        <x:v>4</x:v>
      </x:c>
    </x:row>
    <x:row r="11">
      <x:c r="A11" s="11" t="str">
        <x:v>IN-03</x:v>
      </x:c>
      <x:c r="B11" s="12" t="str">
        <x:v>info-yu</x:v>
      </x:c>
      <x:c r="C11" s="12" t="str">
        <x:v>included</x:v>
      </x:c>
      <x:c r="D11" s="12" t="n">
        <x:v>3</x:v>
      </x:c>
      <x:c r="E11" s="12" t="n">
        <x:v>3</x:v>
      </x:c>
      <x:c r="F11" s="12" t="n">
        <x:v>5</x:v>
      </x:c>
      <x:c r="G11" s="12" t="n">
        <x:v>3</x:v>
      </x:c>
      <x:c r="H11" s="12" t="n">
        <x:v>5</x:v>
      </x:c>
      <x:c r="I11" s="12" t="n">
        <x:v>5</x:v>
      </x:c>
      <x:c r="J11" s="12" t="n">
        <x:v>4</x:v>
      </x:c>
      <x:c r="K11" s="12" t="n">
        <x:v>3</x:v>
      </x:c>
      <x:c r="L11" s="12" t="n">
        <x:v>5</x:v>
      </x:c>
      <x:c r="M11" s="12" t="n">
        <x:v>3</x:v>
      </x:c>
      <x:c r="N11" s="12" t="n">
        <x:v>4</x:v>
      </x:c>
      <x:c r="O11" s="12" t="n">
        <x:v>3</x:v>
      </x:c>
      <x:c r="P11" s="12" t="n">
        <x:v>4</x:v>
      </x:c>
      <x:c r="Q11" s="12" t="n">
        <x:v>3</x:v>
      </x:c>
      <x:c r="R11" s="12" t="n">
        <x:v>4</x:v>
      </x:c>
      <x:c r="S11" s="12" t="n">
        <x:v>5</x:v>
      </x:c>
      <x:c r="T11" s="12" t="n">
        <x:v>5</x:v>
      </x:c>
      <x:c r="U11" s="12" t="n">
        <x:v>3</x:v>
      </x:c>
      <x:c r="V11" s="12" t="n">
        <x:v>4</x:v>
      </x:c>
      <x:c r="W11" s="12" t="n">
        <x:v>5</x:v>
      </x:c>
      <x:c r="X11" s="12" t="n">
        <x:v>3</x:v>
      </x:c>
      <x:c r="Y11" s="12" t="n">
        <x:v>4</x:v>
      </x:c>
      <x:c r="Z11" s="12" t="n">
        <x:v>3</x:v>
      </x:c>
      <x:c r="AA11" s="12" t="n">
        <x:v>4</x:v>
      </x:c>
      <x:c r="AB11" s="12" t="n">
        <x:v>5</x:v>
      </x:c>
      <x:c r="AC11" s="13" t="n">
        <x:v>5</x:v>
      </x:c>
    </x:row>
    <x:row r="12">
      <x:c r="A12" s="11" t="str">
        <x:v>IN-04</x:v>
      </x:c>
      <x:c r="B12" s="12" t="str">
        <x:v>info-yu</x:v>
      </x:c>
      <x:c r="C12" s="12" t="str">
        <x:v>included</x:v>
      </x:c>
      <x:c r="D12" s="12" t="n">
        <x:v>4</x:v>
      </x:c>
      <x:c r="E12" s="12" t="n">
        <x:v>4</x:v>
      </x:c>
      <x:c r="F12" s="12" t="n">
        <x:v>4</x:v>
      </x:c>
      <x:c r="G12" s="12" t="n">
        <x:v>3</x:v>
      </x:c>
      <x:c r="H12" s="12" t="n">
        <x:v>4</x:v>
      </x:c>
      <x:c r="I12" s="12" t="n">
        <x:v>5</x:v>
      </x:c>
      <x:c r="J12" s="12" t="n">
        <x:v>4</x:v>
      </x:c>
      <x:c r="K12" s="12" t="n">
        <x:v>4</x:v>
      </x:c>
      <x:c r="L12" s="12" t="n">
        <x:v>4</x:v>
      </x:c>
      <x:c r="M12" s="12" t="n">
        <x:v>3</x:v>
      </x:c>
      <x:c r="N12" s="12" t="n">
        <x:v>4</x:v>
      </x:c>
      <x:c r="O12" s="12" t="n">
        <x:v>4</x:v>
      </x:c>
      <x:c r="P12" s="12" t="n">
        <x:v>4</x:v>
      </x:c>
      <x:c r="Q12" s="12" t="n">
        <x:v>4</x:v>
      </x:c>
      <x:c r="R12" s="12" t="n">
        <x:v>4</x:v>
      </x:c>
      <x:c r="S12" s="12" t="n">
        <x:v>5</x:v>
      </x:c>
      <x:c r="T12" s="12" t="n">
        <x:v>4</x:v>
      </x:c>
      <x:c r="U12" s="12" t="n">
        <x:v>3</x:v>
      </x:c>
      <x:c r="V12" s="12" t="n">
        <x:v>3</x:v>
      </x:c>
      <x:c r="W12" s="12" t="n">
        <x:v>5</x:v>
      </x:c>
      <x:c r="X12" s="12" t="n">
        <x:v>4</x:v>
      </x:c>
      <x:c r="Y12" s="12" t="n">
        <x:v>4</x:v>
      </x:c>
      <x:c r="Z12" s="12" t="n">
        <x:v>3</x:v>
      </x:c>
      <x:c r="AA12" s="12" t="n">
        <x:v>3</x:v>
      </x:c>
      <x:c r="AB12" s="12" t="n">
        <x:v>3</x:v>
      </x:c>
      <x:c r="AC12" s="13" t="n">
        <x:v>5</x:v>
      </x:c>
    </x:row>
    <x:row r="13">
      <x:c r="A13" s="14" t="str">
        <x:v>IN-05</x:v>
      </x:c>
      <x:c r="B13" s="15" t="str">
        <x:v>info-yu</x:v>
      </x:c>
      <x:c r="C13" s="15" t="str">
        <x:v>excluded</x:v>
      </x:c>
      <x:c r="D13" s="15" t="n">
        <x:v>1</x:v>
      </x:c>
      <x:c r="E13" s="15" t="n">
        <x:v>1</x:v>
      </x:c>
      <x:c r="F13" s="15" t="n">
        <x:v>1</x:v>
      </x:c>
      <x:c r="G13" s="15" t="n">
        <x:v>1</x:v>
      </x:c>
      <x:c r="H13" s="15" t="n">
        <x:v>1</x:v>
      </x:c>
      <x:c r="I13" s="15" t="n">
        <x:v>1</x:v>
      </x:c>
      <x:c r="J13" s="15" t="n">
        <x:v>1</x:v>
      </x:c>
      <x:c r="K13" s="15" t="n">
        <x:v>1</x:v>
      </x:c>
      <x:c r="L13" s="15" t="n">
        <x:v>1</x:v>
      </x:c>
      <x:c r="M13" s="15" t="n">
        <x:v>1</x:v>
      </x:c>
      <x:c r="N13" s="15" t="n">
        <x:v>1</x:v>
      </x:c>
      <x:c r="O13" s="15" t="n">
        <x:v>1</x:v>
      </x:c>
      <x:c r="P13" s="15" t="n">
        <x:v>1</x:v>
      </x:c>
      <x:c r="Q13" s="15" t="n">
        <x:v>1</x:v>
      </x:c>
      <x:c r="R13" s="15" t="n">
        <x:v>1</x:v>
      </x:c>
      <x:c r="S13" s="15" t="n">
        <x:v>1</x:v>
      </x:c>
      <x:c r="T13" s="15" t="n">
        <x:v>1</x:v>
      </x:c>
      <x:c r="U13" s="15" t="n">
        <x:v>1</x:v>
      </x:c>
      <x:c r="V13" s="15" t="n">
        <x:v>1</x:v>
      </x:c>
      <x:c r="W13" s="15" t="n">
        <x:v>1</x:v>
      </x:c>
      <x:c r="X13" s="15" t="n">
        <x:v>1</x:v>
      </x:c>
      <x:c r="Y13" s="15" t="n">
        <x:v>1</x:v>
      </x:c>
      <x:c r="Z13" s="15" t="n">
        <x:v>1</x:v>
      </x:c>
      <x:c r="AA13" s="15" t="n">
        <x:v>1</x:v>
      </x:c>
      <x:c r="AB13" s="15" t="n">
        <x:v>1</x:v>
      </x:c>
      <x:c r="AC13" s="16" t="n">
        <x:v>1</x:v>
      </x:c>
    </x:row>
  </x:sheetData>
  <x:mergeCells>
    <x:mergeCell ref="A1:A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</x:cols>
  <x:sheetData>
    <x:row r="1">
      <x:c r="A1" s="3" t="str">
        <x:v>Formula-transformed UEQ scores; raw answer sheet remains unchanged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</x:row>
    <x:row r="3">
      <x:c r="A3" s="8" t="str">
        <x:v>Submission</x:v>
      </x:c>
      <x:c r="B3" s="9" t="str">
        <x:v>Unit</x:v>
      </x:c>
      <x:c r="C3" s="9" t="str">
        <x:v>Decision</x:v>
      </x:c>
      <x:c r="D3" s="9" t="str">
        <x:v>Q1</x:v>
      </x:c>
      <x:c r="E3" s="9" t="str">
        <x:v>Q2</x:v>
      </x:c>
      <x:c r="F3" s="9" t="str">
        <x:v>Q3</x:v>
      </x:c>
      <x:c r="G3" s="9" t="str">
        <x:v>Q4</x:v>
      </x:c>
      <x:c r="H3" s="9" t="str">
        <x:v>Q5</x:v>
      </x:c>
      <x:c r="I3" s="9" t="str">
        <x:v>Q6</x:v>
      </x:c>
      <x:c r="J3" s="9" t="str">
        <x:v>Q7</x:v>
      </x:c>
      <x:c r="K3" s="9" t="str">
        <x:v>Q8</x:v>
      </x:c>
      <x:c r="L3" s="9" t="str">
        <x:v>Q9</x:v>
      </x:c>
      <x:c r="M3" s="9" t="str">
        <x:v>Q10</x:v>
      </x:c>
      <x:c r="N3" s="9" t="str">
        <x:v>Q11</x:v>
      </x:c>
      <x:c r="O3" s="9" t="str">
        <x:v>Q12</x:v>
      </x:c>
      <x:c r="P3" s="9" t="str">
        <x:v>Q13</x:v>
      </x:c>
      <x:c r="Q3" s="9" t="str">
        <x:v>Q14</x:v>
      </x:c>
      <x:c r="R3" s="9" t="str">
        <x:v>Q15</x:v>
      </x:c>
      <x:c r="S3" s="9" t="str">
        <x:v>Q16</x:v>
      </x:c>
      <x:c r="T3" s="9" t="str">
        <x:v>Q17</x:v>
      </x:c>
      <x:c r="U3" s="9" t="str">
        <x:v>Q18</x:v>
      </x:c>
      <x:c r="V3" s="9" t="str">
        <x:v>Q19</x:v>
      </x:c>
      <x:c r="W3" s="9" t="str">
        <x:v>Q20</x:v>
      </x:c>
      <x:c r="X3" s="9" t="str">
        <x:v>Q21</x:v>
      </x:c>
      <x:c r="Y3" s="9" t="str">
        <x:v>Q22</x:v>
      </x:c>
      <x:c r="Z3" s="9" t="str">
        <x:v>Q23</x:v>
      </x:c>
      <x:c r="AA3" s="9" t="str">
        <x:v>Q24</x:v>
      </x:c>
      <x:c r="AB3" s="9" t="str">
        <x:v>Q25</x:v>
      </x:c>
      <x:c r="AC3" s="10" t="str">
        <x:v>Q26</x:v>
      </x:c>
    </x:row>
    <x:row r="4">
      <x:c r="A4" s="11" t="str">
        <x:v>IB-01</x:v>
      </x:c>
      <x:c r="B4" s="12" t="str">
        <x:v>ibadah-yu</x:v>
      </x:c>
      <x:c r="C4" s="12" t="str">
        <x:v>included</x:v>
      </x:c>
      <x:c r="D4" s="12" t="n">
        <x:f>IF('Item Mapping'!$E$4="right",'Raw Answers'!D4-4,4-'Raw Answers'!D4)</x:f>
        <x:v>3</x:v>
      </x:c>
      <x:c r="E4" s="12" t="n">
        <x:f>IF('Item Mapping'!$E$5="right",'Raw Answers'!E4-4,4-'Raw Answers'!E4)</x:f>
        <x:v>2</x:v>
      </x:c>
      <x:c r="F4" s="12" t="n">
        <x:f>IF('Item Mapping'!$E$6="right",'Raw Answers'!F4-4,4-'Raw Answers'!F4)</x:f>
        <x:v>3</x:v>
      </x:c>
      <x:c r="G4" s="12" t="n">
        <x:f>IF('Item Mapping'!$E$7="right",'Raw Answers'!G4-4,4-'Raw Answers'!G4)</x:f>
        <x:v>2</x:v>
      </x:c>
      <x:c r="H4" s="12" t="n">
        <x:f>IF('Item Mapping'!$E$8="right",'Raw Answers'!H4-4,4-'Raw Answers'!H4)</x:f>
        <x:v>3</x:v>
      </x:c>
      <x:c r="I4" s="12" t="n">
        <x:f>IF('Item Mapping'!$E$9="right",'Raw Answers'!I4-4,4-'Raw Answers'!I4)</x:f>
        <x:v>2</x:v>
      </x:c>
      <x:c r="J4" s="12" t="n">
        <x:f>IF('Item Mapping'!$E$10="right",'Raw Answers'!J4-4,4-'Raw Answers'!J4)</x:f>
        <x:v>1</x:v>
      </x:c>
      <x:c r="K4" s="12" t="n">
        <x:f>IF('Item Mapping'!$E$11="right",'Raw Answers'!K4-4,4-'Raw Answers'!K4)</x:f>
        <x:v>2</x:v>
      </x:c>
      <x:c r="L4" s="12" t="n">
        <x:f>IF('Item Mapping'!$E$12="right",'Raw Answers'!L4-4,4-'Raw Answers'!L4)</x:f>
        <x:v>2</x:v>
      </x:c>
      <x:c r="M4" s="12" t="n">
        <x:f>IF('Item Mapping'!$E$13="right",'Raw Answers'!M4-4,4-'Raw Answers'!M4)</x:f>
        <x:v>2</x:v>
      </x:c>
      <x:c r="N4" s="12" t="n">
        <x:f>IF('Item Mapping'!$E$14="right",'Raw Answers'!N4-4,4-'Raw Answers'!N4)</x:f>
        <x:v>2</x:v>
      </x:c>
      <x:c r="O4" s="12" t="n">
        <x:f>IF('Item Mapping'!$E$15="right",'Raw Answers'!O4-4,4-'Raw Answers'!O4)</x:f>
        <x:v>2</x:v>
      </x:c>
      <x:c r="P4" s="12" t="n">
        <x:f>IF('Item Mapping'!$E$16="right",'Raw Answers'!P4-4,4-'Raw Answers'!P4)</x:f>
        <x:v>1</x:v>
      </x:c>
      <x:c r="Q4" s="12" t="n">
        <x:f>IF('Item Mapping'!$E$17="right",'Raw Answers'!Q4-4,4-'Raw Answers'!Q4)</x:f>
        <x:v>1</x:v>
      </x:c>
      <x:c r="R4" s="12" t="n">
        <x:f>IF('Item Mapping'!$E$18="right",'Raw Answers'!R4-4,4-'Raw Answers'!R4)</x:f>
        <x:v>1</x:v>
      </x:c>
      <x:c r="S4" s="12" t="n">
        <x:f>IF('Item Mapping'!$E$19="right",'Raw Answers'!S4-4,4-'Raw Answers'!S4)</x:f>
        <x:v>1</x:v>
      </x:c>
      <x:c r="T4" s="12" t="n">
        <x:f>IF('Item Mapping'!$E$20="right",'Raw Answers'!T4-4,4-'Raw Answers'!T4)</x:f>
        <x:v>1</x:v>
      </x:c>
      <x:c r="U4" s="12" t="n">
        <x:f>IF('Item Mapping'!$E$21="right",'Raw Answers'!U4-4,4-'Raw Answers'!U4)</x:f>
        <x:v>0</x:v>
      </x:c>
      <x:c r="V4" s="12" t="n">
        <x:f>IF('Item Mapping'!$E$22="right",'Raw Answers'!V4-4,4-'Raw Answers'!V4)</x:f>
        <x:v>0</x:v>
      </x:c>
      <x:c r="W4" s="12" t="n">
        <x:f>IF('Item Mapping'!$E$23="right",'Raw Answers'!W4-4,4-'Raw Answers'!W4)</x:f>
        <x:v>2</x:v>
      </x:c>
      <x:c r="X4" s="12" t="n">
        <x:f>IF('Item Mapping'!$E$24="right",'Raw Answers'!X4-4,4-'Raw Answers'!X4)</x:f>
        <x:v>0</x:v>
      </x:c>
      <x:c r="Y4" s="12" t="n">
        <x:f>IF('Item Mapping'!$E$25="right",'Raw Answers'!Y4-4,4-'Raw Answers'!Y4)</x:f>
        <x:v>1</x:v>
      </x:c>
      <x:c r="Z4" s="12" t="n">
        <x:f>IF('Item Mapping'!$E$26="right",'Raw Answers'!Z4-4,4-'Raw Answers'!Z4)</x:f>
        <x:v>0</x:v>
      </x:c>
      <x:c r="AA4" s="12" t="n">
        <x:f>IF('Item Mapping'!$E$27="right",'Raw Answers'!AA4-4,4-'Raw Answers'!AA4)</x:f>
        <x:v>2</x:v>
      </x:c>
      <x:c r="AB4" s="12" t="n">
        <x:f>IF('Item Mapping'!$E$28="right",'Raw Answers'!AB4-4,4-'Raw Answers'!AB4)</x:f>
        <x:v>1</x:v>
      </x:c>
      <x:c r="AC4" s="13" t="n">
        <x:f>IF('Item Mapping'!$E$29="right",'Raw Answers'!AC4-4,4-'Raw Answers'!AC4)</x:f>
        <x:v>0</x:v>
      </x:c>
    </x:row>
    <x:row r="5">
      <x:c r="A5" s="11" t="str">
        <x:v>IB-02</x:v>
      </x:c>
      <x:c r="B5" s="12" t="str">
        <x:v>ibadah-yu</x:v>
      </x:c>
      <x:c r="C5" s="12" t="str">
        <x:v>included</x:v>
      </x:c>
      <x:c r="D5" s="12" t="n">
        <x:f>IF('Item Mapping'!$E$4="right",'Raw Answers'!D5-4,4-'Raw Answers'!D5)</x:f>
        <x:v>1</x:v>
      </x:c>
      <x:c r="E5" s="12" t="n">
        <x:f>IF('Item Mapping'!$E$5="right",'Raw Answers'!E5-4,4-'Raw Answers'!E5)</x:f>
        <x:v>2</x:v>
      </x:c>
      <x:c r="F5" s="12" t="n">
        <x:f>IF('Item Mapping'!$E$6="right",'Raw Answers'!F5-4,4-'Raw Answers'!F5)</x:f>
        <x:v>1</x:v>
      </x:c>
      <x:c r="G5" s="12" t="n">
        <x:f>IF('Item Mapping'!$E$7="right",'Raw Answers'!G5-4,4-'Raw Answers'!G5)</x:f>
        <x:v>0</x:v>
      </x:c>
      <x:c r="H5" s="12" t="n">
        <x:f>IF('Item Mapping'!$E$8="right",'Raw Answers'!H5-4,4-'Raw Answers'!H5)</x:f>
        <x:v>2</x:v>
      </x:c>
      <x:c r="I5" s="12" t="n">
        <x:f>IF('Item Mapping'!$E$9="right",'Raw Answers'!I5-4,4-'Raw Answers'!I5)</x:f>
        <x:v>0</x:v>
      </x:c>
      <x:c r="J5" s="12" t="n">
        <x:f>IF('Item Mapping'!$E$10="right",'Raw Answers'!J5-4,4-'Raw Answers'!J5)</x:f>
        <x:v>3</x:v>
      </x:c>
      <x:c r="K5" s="12" t="n">
        <x:f>IF('Item Mapping'!$E$11="right",'Raw Answers'!K5-4,4-'Raw Answers'!K5)</x:f>
        <x:v>1</x:v>
      </x:c>
      <x:c r="L5" s="12" t="n">
        <x:f>IF('Item Mapping'!$E$12="right",'Raw Answers'!L5-4,4-'Raw Answers'!L5)</x:f>
        <x:v>1</x:v>
      </x:c>
      <x:c r="M5" s="12" t="n">
        <x:f>IF('Item Mapping'!$E$13="right",'Raw Answers'!M5-4,4-'Raw Answers'!M5)</x:f>
        <x:v>0</x:v>
      </x:c>
      <x:c r="N5" s="12" t="n">
        <x:f>IF('Item Mapping'!$E$14="right",'Raw Answers'!N5-4,4-'Raw Answers'!N5)</x:f>
        <x:v>-1</x:v>
      </x:c>
      <x:c r="O5" s="12" t="n">
        <x:f>IF('Item Mapping'!$E$15="right",'Raw Answers'!O5-4,4-'Raw Answers'!O5)</x:f>
        <x:v>1</x:v>
      </x:c>
      <x:c r="P5" s="12" t="n">
        <x:f>IF('Item Mapping'!$E$16="right",'Raw Answers'!P5-4,4-'Raw Answers'!P5)</x:f>
        <x:v>2</x:v>
      </x:c>
      <x:c r="Q5" s="12" t="n">
        <x:f>IF('Item Mapping'!$E$17="right",'Raw Answers'!Q5-4,4-'Raw Answers'!Q5)</x:f>
        <x:v>2</x:v>
      </x:c>
      <x:c r="R5" s="12" t="n">
        <x:f>IF('Item Mapping'!$E$18="right",'Raw Answers'!R5-4,4-'Raw Answers'!R5)</x:f>
        <x:v>2</x:v>
      </x:c>
      <x:c r="S5" s="12" t="n">
        <x:f>IF('Item Mapping'!$E$19="right",'Raw Answers'!S5-4,4-'Raw Answers'!S5)</x:f>
        <x:v>1</x:v>
      </x:c>
      <x:c r="T5" s="12" t="n">
        <x:f>IF('Item Mapping'!$E$20="right",'Raw Answers'!T5-4,4-'Raw Answers'!T5)</x:f>
        <x:v>2</x:v>
      </x:c>
      <x:c r="U5" s="12" t="n">
        <x:f>IF('Item Mapping'!$E$21="right",'Raw Answers'!U5-4,4-'Raw Answers'!U5)</x:f>
        <x:v>2</x:v>
      </x:c>
      <x:c r="V5" s="12" t="n">
        <x:f>IF('Item Mapping'!$E$22="right",'Raw Answers'!V5-4,4-'Raw Answers'!V5)</x:f>
        <x:v>1</x:v>
      </x:c>
      <x:c r="W5" s="12" t="n">
        <x:f>IF('Item Mapping'!$E$23="right",'Raw Answers'!W5-4,4-'Raw Answers'!W5)</x:f>
        <x:v>0</x:v>
      </x:c>
      <x:c r="X5" s="12" t="n">
        <x:f>IF('Item Mapping'!$E$24="right",'Raw Answers'!X5-4,4-'Raw Answers'!X5)</x:f>
        <x:v>2</x:v>
      </x:c>
      <x:c r="Y5" s="12" t="n">
        <x:f>IF('Item Mapping'!$E$25="right",'Raw Answers'!Y5-4,4-'Raw Answers'!Y5)</x:f>
        <x:v>1</x:v>
      </x:c>
      <x:c r="Z5" s="12" t="n">
        <x:f>IF('Item Mapping'!$E$26="right",'Raw Answers'!Z5-4,4-'Raw Answers'!Z5)</x:f>
        <x:v>1</x:v>
      </x:c>
      <x:c r="AA5" s="12" t="n">
        <x:f>IF('Item Mapping'!$E$27="right",'Raw Answers'!AA5-4,4-'Raw Answers'!AA5)</x:f>
        <x:v>0</x:v>
      </x:c>
      <x:c r="AB5" s="12" t="n">
        <x:f>IF('Item Mapping'!$E$28="right",'Raw Answers'!AB5-4,4-'Raw Answers'!AB5)</x:f>
        <x:v>1</x:v>
      </x:c>
      <x:c r="AC5" s="13" t="n">
        <x:f>IF('Item Mapping'!$E$29="right",'Raw Answers'!AC5-4,4-'Raw Answers'!AC5)</x:f>
        <x:v>1</x:v>
      </x:c>
    </x:row>
    <x:row r="6">
      <x:c r="A6" s="11" t="str">
        <x:v>IB-03</x:v>
      </x:c>
      <x:c r="B6" s="12" t="str">
        <x:v>ibadah-yu</x:v>
      </x:c>
      <x:c r="C6" s="12" t="str">
        <x:v>included</x:v>
      </x:c>
      <x:c r="D6" s="12" t="n">
        <x:f>IF('Item Mapping'!$E$4="right",'Raw Answers'!D6-4,4-'Raw Answers'!D6)</x:f>
        <x:v>0</x:v>
      </x:c>
      <x:c r="E6" s="12" t="n">
        <x:f>IF('Item Mapping'!$E$5="right",'Raw Answers'!E6-4,4-'Raw Answers'!E6)</x:f>
        <x:v>0</x:v>
      </x:c>
      <x:c r="F6" s="12" t="n">
        <x:f>IF('Item Mapping'!$E$6="right",'Raw Answers'!F6-4,4-'Raw Answers'!F6)</x:f>
        <x:v>0</x:v>
      </x:c>
      <x:c r="G6" s="12" t="n">
        <x:f>IF('Item Mapping'!$E$7="right",'Raw Answers'!G6-4,4-'Raw Answers'!G6)</x:f>
        <x:v>2</x:v>
      </x:c>
      <x:c r="H6" s="12" t="n">
        <x:f>IF('Item Mapping'!$E$8="right",'Raw Answers'!H6-4,4-'Raw Answers'!H6)</x:f>
        <x:v>0</x:v>
      </x:c>
      <x:c r="I6" s="12" t="n">
        <x:f>IF('Item Mapping'!$E$9="right",'Raw Answers'!I6-4,4-'Raw Answers'!I6)</x:f>
        <x:v>2</x:v>
      </x:c>
      <x:c r="J6" s="12" t="n">
        <x:f>IF('Item Mapping'!$E$10="right",'Raw Answers'!J6-4,4-'Raw Answers'!J6)</x:f>
        <x:v>1</x:v>
      </x:c>
      <x:c r="K6" s="12" t="n">
        <x:f>IF('Item Mapping'!$E$11="right",'Raw Answers'!K6-4,4-'Raw Answers'!K6)</x:f>
        <x:v>-1</x:v>
      </x:c>
      <x:c r="L6" s="12" t="n">
        <x:f>IF('Item Mapping'!$E$12="right",'Raw Answers'!L6-4,4-'Raw Answers'!L6)</x:f>
        <x:v>0</x:v>
      </x:c>
      <x:c r="M6" s="12" t="n">
        <x:f>IF('Item Mapping'!$E$13="right",'Raw Answers'!M6-4,4-'Raw Answers'!M6)</x:f>
        <x:v>1</x:v>
      </x:c>
      <x:c r="N6" s="12" t="n">
        <x:f>IF('Item Mapping'!$E$14="right",'Raw Answers'!N6-4,4-'Raw Answers'!N6)</x:f>
        <x:v>1</x:v>
      </x:c>
      <x:c r="O6" s="12" t="n">
        <x:f>IF('Item Mapping'!$E$15="right",'Raw Answers'!O6-4,4-'Raw Answers'!O6)</x:f>
        <x:v>1</x:v>
      </x:c>
      <x:c r="P6" s="12" t="n">
        <x:f>IF('Item Mapping'!$E$16="right",'Raw Answers'!P6-4,4-'Raw Answers'!P6)</x:f>
        <x:v>1</x:v>
      </x:c>
      <x:c r="Q6" s="12" t="n">
        <x:f>IF('Item Mapping'!$E$17="right",'Raw Answers'!Q6-4,4-'Raw Answers'!Q6)</x:f>
        <x:v>0</x:v>
      </x:c>
      <x:c r="R6" s="12" t="n">
        <x:f>IF('Item Mapping'!$E$18="right",'Raw Answers'!R6-4,4-'Raw Answers'!R6)</x:f>
        <x:v>1</x:v>
      </x:c>
      <x:c r="S6" s="12" t="n">
        <x:f>IF('Item Mapping'!$E$19="right",'Raw Answers'!S6-4,4-'Raw Answers'!S6)</x:f>
        <x:v>1</x:v>
      </x:c>
      <x:c r="T6" s="12" t="n">
        <x:f>IF('Item Mapping'!$E$20="right",'Raw Answers'!T6-4,4-'Raw Answers'!T6)</x:f>
        <x:v>0</x:v>
      </x:c>
      <x:c r="U6" s="12" t="n">
        <x:f>IF('Item Mapping'!$E$21="right",'Raw Answers'!U6-4,4-'Raw Answers'!U6)</x:f>
        <x:v>2</x:v>
      </x:c>
      <x:c r="V6" s="12" t="n">
        <x:f>IF('Item Mapping'!$E$22="right",'Raw Answers'!V6-4,4-'Raw Answers'!V6)</x:f>
        <x:v>1</x:v>
      </x:c>
      <x:c r="W6" s="12" t="n">
        <x:f>IF('Item Mapping'!$E$23="right",'Raw Answers'!W6-4,4-'Raw Answers'!W6)</x:f>
        <x:v>1</x:v>
      </x:c>
      <x:c r="X6" s="12" t="n">
        <x:f>IF('Item Mapping'!$E$24="right",'Raw Answers'!X6-4,4-'Raw Answers'!X6)</x:f>
        <x:v>2</x:v>
      </x:c>
      <x:c r="Y6" s="12" t="n">
        <x:f>IF('Item Mapping'!$E$25="right",'Raw Answers'!Y6-4,4-'Raw Answers'!Y6)</x:f>
        <x:v>1</x:v>
      </x:c>
      <x:c r="Z6" s="12" t="n">
        <x:f>IF('Item Mapping'!$E$26="right",'Raw Answers'!Z6-4,4-'Raw Answers'!Z6)</x:f>
        <x:v>2</x:v>
      </x:c>
      <x:c r="AA6" s="12" t="n">
        <x:f>IF('Item Mapping'!$E$27="right",'Raw Answers'!AA6-4,4-'Raw Answers'!AA6)</x:f>
        <x:v>1</x:v>
      </x:c>
      <x:c r="AB6" s="12" t="n">
        <x:f>IF('Item Mapping'!$E$28="right",'Raw Answers'!AB6-4,4-'Raw Answers'!AB6)</x:f>
        <x:v>1</x:v>
      </x:c>
      <x:c r="AC6" s="13" t="n">
        <x:f>IF('Item Mapping'!$E$29="right",'Raw Answers'!AC6-4,4-'Raw Answers'!AC6)</x:f>
        <x:v>2</x:v>
      </x:c>
    </x:row>
    <x:row r="7">
      <x:c r="A7" s="11" t="str">
        <x:v>IB-04</x:v>
      </x:c>
      <x:c r="B7" s="12" t="str">
        <x:v>ibadah-yu</x:v>
      </x:c>
      <x:c r="C7" s="12" t="str">
        <x:v>included</x:v>
      </x:c>
      <x:c r="D7" s="12" t="n">
        <x:f>IF('Item Mapping'!$E$4="right",'Raw Answers'!D7-4,4-'Raw Answers'!D7)</x:f>
        <x:v>0</x:v>
      </x:c>
      <x:c r="E7" s="12" t="n">
        <x:f>IF('Item Mapping'!$E$5="right",'Raw Answers'!E7-4,4-'Raw Answers'!E7)</x:f>
        <x:v>0</x:v>
      </x:c>
      <x:c r="F7" s="12" t="n">
        <x:f>IF('Item Mapping'!$E$6="right",'Raw Answers'!F7-4,4-'Raw Answers'!F7)</x:f>
        <x:v>0</x:v>
      </x:c>
      <x:c r="G7" s="12" t="n">
        <x:f>IF('Item Mapping'!$E$7="right",'Raw Answers'!G7-4,4-'Raw Answers'!G7)</x:f>
        <x:v>1</x:v>
      </x:c>
      <x:c r="H7" s="12" t="n">
        <x:f>IF('Item Mapping'!$E$8="right",'Raw Answers'!H7-4,4-'Raw Answers'!H7)</x:f>
        <x:v>0</x:v>
      </x:c>
      <x:c r="I7" s="12" t="n">
        <x:f>IF('Item Mapping'!$E$9="right",'Raw Answers'!I7-4,4-'Raw Answers'!I7)</x:f>
        <x:v>1</x:v>
      </x:c>
      <x:c r="J7" s="12" t="n">
        <x:f>IF('Item Mapping'!$E$10="right",'Raw Answers'!J7-4,4-'Raw Answers'!J7)</x:f>
        <x:v>0</x:v>
      </x:c>
      <x:c r="K7" s="12" t="n">
        <x:f>IF('Item Mapping'!$E$11="right",'Raw Answers'!K7-4,4-'Raw Answers'!K7)</x:f>
        <x:v>0</x:v>
      </x:c>
      <x:c r="L7" s="12" t="n">
        <x:f>IF('Item Mapping'!$E$12="right",'Raw Answers'!L7-4,4-'Raw Answers'!L7)</x:f>
        <x:v>0</x:v>
      </x:c>
      <x:c r="M7" s="12" t="n">
        <x:f>IF('Item Mapping'!$E$13="right",'Raw Answers'!M7-4,4-'Raw Answers'!M7)</x:f>
        <x:v>1</x:v>
      </x:c>
      <x:c r="N7" s="12" t="n">
        <x:f>IF('Item Mapping'!$E$14="right",'Raw Answers'!N7-4,4-'Raw Answers'!N7)</x:f>
        <x:v>1</x:v>
      </x:c>
      <x:c r="O7" s="12" t="n">
        <x:f>IF('Item Mapping'!$E$15="right",'Raw Answers'!O7-4,4-'Raw Answers'!O7)</x:f>
        <x:v>0</x:v>
      </x:c>
      <x:c r="P7" s="12" t="n">
        <x:f>IF('Item Mapping'!$E$16="right",'Raw Answers'!P7-4,4-'Raw Answers'!P7)</x:f>
        <x:v>0</x:v>
      </x:c>
      <x:c r="Q7" s="12" t="n">
        <x:f>IF('Item Mapping'!$E$17="right",'Raw Answers'!Q7-4,4-'Raw Answers'!Q7)</x:f>
        <x:v>1</x:v>
      </x:c>
      <x:c r="R7" s="12" t="n">
        <x:f>IF('Item Mapping'!$E$18="right",'Raw Answers'!R7-4,4-'Raw Answers'!R7)</x:f>
        <x:v>0</x:v>
      </x:c>
      <x:c r="S7" s="12" t="n">
        <x:f>IF('Item Mapping'!$E$19="right",'Raw Answers'!S7-4,4-'Raw Answers'!S7)</x:f>
        <x:v>1</x:v>
      </x:c>
      <x:c r="T7" s="12" t="n">
        <x:f>IF('Item Mapping'!$E$20="right",'Raw Answers'!T7-4,4-'Raw Answers'!T7)</x:f>
        <x:v>0</x:v>
      </x:c>
      <x:c r="U7" s="12" t="n">
        <x:f>IF('Item Mapping'!$E$21="right",'Raw Answers'!U7-4,4-'Raw Answers'!U7)</x:f>
        <x:v>1</x:v>
      </x:c>
      <x:c r="V7" s="12" t="n">
        <x:f>IF('Item Mapping'!$E$22="right",'Raw Answers'!V7-4,4-'Raw Answers'!V7)</x:f>
        <x:v>1</x:v>
      </x:c>
      <x:c r="W7" s="12" t="n">
        <x:f>IF('Item Mapping'!$E$23="right",'Raw Answers'!W7-4,4-'Raw Answers'!W7)</x:f>
        <x:v>1</x:v>
      </x:c>
      <x:c r="X7" s="12" t="n">
        <x:f>IF('Item Mapping'!$E$24="right",'Raw Answers'!X7-4,4-'Raw Answers'!X7)</x:f>
        <x:v>1</x:v>
      </x:c>
      <x:c r="Y7" s="12" t="n">
        <x:f>IF('Item Mapping'!$E$25="right",'Raw Answers'!Y7-4,4-'Raw Answers'!Y7)</x:f>
        <x:v>0</x:v>
      </x:c>
      <x:c r="Z7" s="12" t="n">
        <x:f>IF('Item Mapping'!$E$26="right",'Raw Answers'!Z7-4,4-'Raw Answers'!Z7)</x:f>
        <x:v>1</x:v>
      </x:c>
      <x:c r="AA7" s="12" t="n">
        <x:f>IF('Item Mapping'!$E$27="right",'Raw Answers'!AA7-4,4-'Raw Answers'!AA7)</x:f>
        <x:v>1</x:v>
      </x:c>
      <x:c r="AB7" s="12" t="n">
        <x:f>IF('Item Mapping'!$E$28="right",'Raw Answers'!AB7-4,4-'Raw Answers'!AB7)</x:f>
        <x:v>1</x:v>
      </x:c>
      <x:c r="AC7" s="13" t="n">
        <x:f>IF('Item Mapping'!$E$29="right",'Raw Answers'!AC7-4,4-'Raw Answers'!AC7)</x:f>
        <x:v>2</x:v>
      </x:c>
    </x:row>
    <x:row r="8">
      <x:c r="A8" s="11" t="str">
        <x:v>IB-05</x:v>
      </x:c>
      <x:c r="B8" s="12" t="str">
        <x:v>ibadah-yu</x:v>
      </x:c>
      <x:c r="C8" s="12" t="str">
        <x:v>excluded</x:v>
      </x:c>
      <x:c r="D8" s="12" t="n">
        <x:f>IF('Item Mapping'!$E$4="right",'Raw Answers'!D8-4,4-'Raw Answers'!D8)</x:f>
        <x:v>-3</x:v>
      </x:c>
      <x:c r="E8" s="12" t="n">
        <x:f>IF('Item Mapping'!$E$5="right",'Raw Answers'!E8-4,4-'Raw Answers'!E8)</x:f>
        <x:v>-3</x:v>
      </x:c>
      <x:c r="F8" s="12" t="n">
        <x:f>IF('Item Mapping'!$E$6="right",'Raw Answers'!F8-4,4-'Raw Answers'!F8)</x:f>
        <x:v>3</x:v>
      </x:c>
      <x:c r="G8" s="12" t="n">
        <x:f>IF('Item Mapping'!$E$7="right",'Raw Answers'!G8-4,4-'Raw Answers'!G8)</x:f>
        <x:v>3</x:v>
      </x:c>
      <x:c r="H8" s="12" t="n">
        <x:f>IF('Item Mapping'!$E$8="right",'Raw Answers'!H8-4,4-'Raw Answers'!H8)</x:f>
        <x:v>3</x:v>
      </x:c>
      <x:c r="I8" s="12" t="n">
        <x:f>IF('Item Mapping'!$E$9="right",'Raw Answers'!I8-4,4-'Raw Answers'!I8)</x:f>
        <x:v>-3</x:v>
      </x:c>
      <x:c r="J8" s="12" t="n">
        <x:f>IF('Item Mapping'!$E$10="right",'Raw Answers'!J8-4,4-'Raw Answers'!J8)</x:f>
        <x:v>-3</x:v>
      </x:c>
      <x:c r="K8" s="12" t="n">
        <x:f>IF('Item Mapping'!$E$11="right",'Raw Answers'!K8-4,4-'Raw Answers'!K8)</x:f>
        <x:v>-3</x:v>
      </x:c>
      <x:c r="L8" s="12" t="n">
        <x:f>IF('Item Mapping'!$E$12="right",'Raw Answers'!L8-4,4-'Raw Answers'!L8)</x:f>
        <x:v>3</x:v>
      </x:c>
      <x:c r="M8" s="12" t="n">
        <x:f>IF('Item Mapping'!$E$13="right",'Raw Answers'!M8-4,4-'Raw Answers'!M8)</x:f>
        <x:v>3</x:v>
      </x:c>
      <x:c r="N8" s="12" t="n">
        <x:f>IF('Item Mapping'!$E$14="right",'Raw Answers'!N8-4,4-'Raw Answers'!N8)</x:f>
        <x:v>-3</x:v>
      </x:c>
      <x:c r="O8" s="12" t="n">
        <x:f>IF('Item Mapping'!$E$15="right",'Raw Answers'!O8-4,4-'Raw Answers'!O8)</x:f>
        <x:v>3</x:v>
      </x:c>
      <x:c r="P8" s="12" t="n">
        <x:f>IF('Item Mapping'!$E$16="right",'Raw Answers'!P8-4,4-'Raw Answers'!P8)</x:f>
        <x:v>-3</x:v>
      </x:c>
      <x:c r="Q8" s="12" t="n">
        <x:f>IF('Item Mapping'!$E$17="right",'Raw Answers'!Q8-4,4-'Raw Answers'!Q8)</x:f>
        <x:v>-3</x:v>
      </x:c>
      <x:c r="R8" s="12" t="n">
        <x:f>IF('Item Mapping'!$E$18="right",'Raw Answers'!R8-4,4-'Raw Answers'!R8)</x:f>
        <x:v>-3</x:v>
      </x:c>
      <x:c r="S8" s="12" t="n">
        <x:f>IF('Item Mapping'!$E$19="right",'Raw Answers'!S8-4,4-'Raw Answers'!S8)</x:f>
        <x:v>-3</x:v>
      </x:c>
      <x:c r="T8" s="12" t="n">
        <x:f>IF('Item Mapping'!$E$20="right",'Raw Answers'!T8-4,4-'Raw Answers'!T8)</x:f>
        <x:v>3</x:v>
      </x:c>
      <x:c r="U8" s="12" t="n">
        <x:f>IF('Item Mapping'!$E$21="right",'Raw Answers'!U8-4,4-'Raw Answers'!U8)</x:f>
        <x:v>3</x:v>
      </x:c>
      <x:c r="V8" s="12" t="n">
        <x:f>IF('Item Mapping'!$E$22="right",'Raw Answers'!V8-4,4-'Raw Answers'!V8)</x:f>
        <x:v>3</x:v>
      </x:c>
      <x:c r="W8" s="12" t="n">
        <x:f>IF('Item Mapping'!$E$23="right",'Raw Answers'!W8-4,4-'Raw Answers'!W8)</x:f>
        <x:v>-3</x:v>
      </x:c>
      <x:c r="X8" s="12" t="n">
        <x:f>IF('Item Mapping'!$E$24="right",'Raw Answers'!X8-4,4-'Raw Answers'!X8)</x:f>
        <x:v>3</x:v>
      </x:c>
      <x:c r="Y8" s="12" t="n">
        <x:f>IF('Item Mapping'!$E$25="right",'Raw Answers'!Y8-4,4-'Raw Answers'!Y8)</x:f>
        <x:v>-3</x:v>
      </x:c>
      <x:c r="Z8" s="12" t="n">
        <x:f>IF('Item Mapping'!$E$26="right",'Raw Answers'!Z8-4,4-'Raw Answers'!Z8)</x:f>
        <x:v>3</x:v>
      </x:c>
      <x:c r="AA8" s="12" t="n">
        <x:f>IF('Item Mapping'!$E$27="right",'Raw Answers'!AA8-4,4-'Raw Answers'!AA8)</x:f>
        <x:v>3</x:v>
      </x:c>
      <x:c r="AB8" s="12" t="n">
        <x:f>IF('Item Mapping'!$E$28="right",'Raw Answers'!AB8-4,4-'Raw Answers'!AB8)</x:f>
        <x:v>3</x:v>
      </x:c>
      <x:c r="AC8" s="13" t="n">
        <x:f>IF('Item Mapping'!$E$29="right",'Raw Answers'!AC8-4,4-'Raw Answers'!AC8)</x:f>
        <x:v>-3</x:v>
      </x:c>
    </x:row>
    <x:row r="9">
      <x:c r="A9" s="11" t="str">
        <x:v>IN-01</x:v>
      </x:c>
      <x:c r="B9" s="12" t="str">
        <x:v>info-yu</x:v>
      </x:c>
      <x:c r="C9" s="12" t="str">
        <x:v>included</x:v>
      </x:c>
      <x:c r="D9" s="12" t="n">
        <x:f>IF('Item Mapping'!$E$4="right",'Raw Answers'!D9-4,4-'Raw Answers'!D9)</x:f>
        <x:v>3</x:v>
      </x:c>
      <x:c r="E9" s="12" t="n">
        <x:f>IF('Item Mapping'!$E$5="right",'Raw Answers'!E9-4,4-'Raw Answers'!E9)</x:f>
        <x:v>3</x:v>
      </x:c>
      <x:c r="F9" s="12" t="n">
        <x:f>IF('Item Mapping'!$E$6="right",'Raw Answers'!F9-4,4-'Raw Answers'!F9)</x:f>
        <x:v>3</x:v>
      </x:c>
      <x:c r="G9" s="12" t="n">
        <x:f>IF('Item Mapping'!$E$7="right",'Raw Answers'!G9-4,4-'Raw Answers'!G9)</x:f>
        <x:v>2</x:v>
      </x:c>
      <x:c r="H9" s="12" t="n">
        <x:f>IF('Item Mapping'!$E$8="right",'Raw Answers'!H9-4,4-'Raw Answers'!H9)</x:f>
        <x:v>3</x:v>
      </x:c>
      <x:c r="I9" s="12" t="n">
        <x:f>IF('Item Mapping'!$E$9="right",'Raw Answers'!I9-4,4-'Raw Answers'!I9)</x:f>
        <x:v>2</x:v>
      </x:c>
      <x:c r="J9" s="12" t="n">
        <x:f>IF('Item Mapping'!$E$10="right",'Raw Answers'!J9-4,4-'Raw Answers'!J9)</x:f>
        <x:v>1</x:v>
      </x:c>
      <x:c r="K9" s="12" t="n">
        <x:f>IF('Item Mapping'!$E$11="right",'Raw Answers'!K9-4,4-'Raw Answers'!K9)</x:f>
        <x:v>3</x:v>
      </x:c>
      <x:c r="L9" s="12" t="n">
        <x:f>IF('Item Mapping'!$E$12="right",'Raw Answers'!L9-4,4-'Raw Answers'!L9)</x:f>
        <x:v>3</x:v>
      </x:c>
      <x:c r="M9" s="12" t="n">
        <x:f>IF('Item Mapping'!$E$13="right",'Raw Answers'!M9-4,4-'Raw Answers'!M9)</x:f>
        <x:v>2</x:v>
      </x:c>
      <x:c r="N9" s="12" t="n">
        <x:f>IF('Item Mapping'!$E$14="right",'Raw Answers'!N9-4,4-'Raw Answers'!N9)</x:f>
        <x:v>2</x:v>
      </x:c>
      <x:c r="O9" s="12" t="n">
        <x:f>IF('Item Mapping'!$E$15="right",'Raw Answers'!O9-4,4-'Raw Answers'!O9)</x:f>
        <x:v>2</x:v>
      </x:c>
      <x:c r="P9" s="12" t="n">
        <x:f>IF('Item Mapping'!$E$16="right",'Raw Answers'!P9-4,4-'Raw Answers'!P9)</x:f>
        <x:v>1</x:v>
      </x:c>
      <x:c r="Q9" s="12" t="n">
        <x:f>IF('Item Mapping'!$E$17="right",'Raw Answers'!Q9-4,4-'Raw Answers'!Q9)</x:f>
        <x:v>1</x:v>
      </x:c>
      <x:c r="R9" s="12" t="n">
        <x:f>IF('Item Mapping'!$E$18="right",'Raw Answers'!R9-4,4-'Raw Answers'!R9)</x:f>
        <x:v>0</x:v>
      </x:c>
      <x:c r="S9" s="12" t="n">
        <x:f>IF('Item Mapping'!$E$19="right",'Raw Answers'!S9-4,4-'Raw Answers'!S9)</x:f>
        <x:v>0</x:v>
      </x:c>
      <x:c r="T9" s="12" t="n">
        <x:f>IF('Item Mapping'!$E$20="right",'Raw Answers'!T9-4,4-'Raw Answers'!T9)</x:f>
        <x:v>1</x:v>
      </x:c>
      <x:c r="U9" s="12" t="n">
        <x:f>IF('Item Mapping'!$E$21="right",'Raw Answers'!U9-4,4-'Raw Answers'!U9)</x:f>
        <x:v>0</x:v>
      </x:c>
      <x:c r="V9" s="12" t="n">
        <x:f>IF('Item Mapping'!$E$22="right",'Raw Answers'!V9-4,4-'Raw Answers'!V9)</x:f>
        <x:v>0</x:v>
      </x:c>
      <x:c r="W9" s="12" t="n">
        <x:f>IF('Item Mapping'!$E$23="right",'Raw Answers'!W9-4,4-'Raw Answers'!W9)</x:f>
        <x:v>2</x:v>
      </x:c>
      <x:c r="X9" s="12" t="n">
        <x:f>IF('Item Mapping'!$E$24="right",'Raw Answers'!X9-4,4-'Raw Answers'!X9)</x:f>
        <x:v>0</x:v>
      </x:c>
      <x:c r="Y9" s="12" t="n">
        <x:f>IF('Item Mapping'!$E$25="right",'Raw Answers'!Y9-4,4-'Raw Answers'!Y9)</x:f>
        <x:v>1</x:v>
      </x:c>
      <x:c r="Z9" s="12" t="n">
        <x:f>IF('Item Mapping'!$E$26="right",'Raw Answers'!Z9-4,4-'Raw Answers'!Z9)</x:f>
        <x:v>0</x:v>
      </x:c>
      <x:c r="AA9" s="12" t="n">
        <x:f>IF('Item Mapping'!$E$27="right",'Raw Answers'!AA9-4,4-'Raw Answers'!AA9)</x:f>
        <x:v>2</x:v>
      </x:c>
      <x:c r="AB9" s="12" t="n">
        <x:f>IF('Item Mapping'!$E$28="right",'Raw Answers'!AB9-4,4-'Raw Answers'!AB9)</x:f>
        <x:v>1</x:v>
      </x:c>
      <x:c r="AC9" s="13" t="n">
        <x:f>IF('Item Mapping'!$E$29="right",'Raw Answers'!AC9-4,4-'Raw Answers'!AC9)</x:f>
        <x:v>0</x:v>
      </x:c>
    </x:row>
    <x:row r="10">
      <x:c r="A10" s="11" t="str">
        <x:v>IN-02</x:v>
      </x:c>
      <x:c r="B10" s="12" t="str">
        <x:v>info-yu</x:v>
      </x:c>
      <x:c r="C10" s="12" t="str">
        <x:v>included</x:v>
      </x:c>
      <x:c r="D10" s="12" t="n">
        <x:f>IF('Item Mapping'!$E$4="right",'Raw Answers'!D10-4,4-'Raw Answers'!D10)</x:f>
        <x:v>-1</x:v>
      </x:c>
      <x:c r="E10" s="12" t="n">
        <x:f>IF('Item Mapping'!$E$5="right",'Raw Answers'!E10-4,4-'Raw Answers'!E10)</x:f>
        <x:v>1</x:v>
      </x:c>
      <x:c r="F10" s="12" t="n">
        <x:f>IF('Item Mapping'!$E$6="right",'Raw Answers'!F10-4,4-'Raw Answers'!F10)</x:f>
        <x:v>0</x:v>
      </x:c>
      <x:c r="G10" s="12" t="n">
        <x:f>IF('Item Mapping'!$E$7="right",'Raw Answers'!G10-4,4-'Raw Answers'!G10)</x:f>
        <x:v>-1</x:v>
      </x:c>
      <x:c r="H10" s="12" t="n">
        <x:f>IF('Item Mapping'!$E$8="right",'Raw Answers'!H10-4,4-'Raw Answers'!H10)</x:f>
        <x:v>1</x:v>
      </x:c>
      <x:c r="I10" s="12" t="n">
        <x:f>IF('Item Mapping'!$E$9="right",'Raw Answers'!I10-4,4-'Raw Answers'!I10)</x:f>
        <x:v>-1</x:v>
      </x:c>
      <x:c r="J10" s="12" t="n">
        <x:f>IF('Item Mapping'!$E$10="right",'Raw Answers'!J10-4,4-'Raw Answers'!J10)</x:f>
        <x:v>2</x:v>
      </x:c>
      <x:c r="K10" s="12" t="n">
        <x:f>IF('Item Mapping'!$E$11="right",'Raw Answers'!K10-4,4-'Raw Answers'!K10)</x:f>
        <x:v>-1</x:v>
      </x:c>
      <x:c r="L10" s="12" t="n">
        <x:f>IF('Item Mapping'!$E$12="right",'Raw Answers'!L10-4,4-'Raw Answers'!L10)</x:f>
        <x:v>1</x:v>
      </x:c>
      <x:c r="M10" s="12" t="n">
        <x:f>IF('Item Mapping'!$E$13="right",'Raw Answers'!M10-4,4-'Raw Answers'!M10)</x:f>
        <x:v>-2</x:v>
      </x:c>
      <x:c r="N10" s="12" t="n">
        <x:f>IF('Item Mapping'!$E$14="right",'Raw Answers'!N10-4,4-'Raw Answers'!N10)</x:f>
        <x:v>-2</x:v>
      </x:c>
      <x:c r="O10" s="12" t="n">
        <x:f>IF('Item Mapping'!$E$15="right",'Raw Answers'!O10-4,4-'Raw Answers'!O10)</x:f>
        <x:v>-1</x:v>
      </x:c>
      <x:c r="P10" s="12" t="n">
        <x:f>IF('Item Mapping'!$E$16="right",'Raw Answers'!P10-4,4-'Raw Answers'!P10)</x:f>
        <x:v>2</x:v>
      </x:c>
      <x:c r="Q10" s="12" t="n">
        <x:f>IF('Item Mapping'!$E$17="right",'Raw Answers'!Q10-4,4-'Raw Answers'!Q10)</x:f>
        <x:v>1</x:v>
      </x:c>
      <x:c r="R10" s="12" t="n">
        <x:f>IF('Item Mapping'!$E$18="right",'Raw Answers'!R10-4,4-'Raw Answers'!R10)</x:f>
        <x:v>1</x:v>
      </x:c>
      <x:c r="S10" s="12" t="n">
        <x:f>IF('Item Mapping'!$E$19="right",'Raw Answers'!S10-4,4-'Raw Answers'!S10)</x:f>
        <x:v>0</x:v>
      </x:c>
      <x:c r="T10" s="12" t="n">
        <x:f>IF('Item Mapping'!$E$20="right",'Raw Answers'!T10-4,4-'Raw Answers'!T10)</x:f>
        <x:v>1</x:v>
      </x:c>
      <x:c r="U10" s="12" t="n">
        <x:f>IF('Item Mapping'!$E$21="right",'Raw Answers'!U10-4,4-'Raw Answers'!U10)</x:f>
        <x:v>1</x:v>
      </x:c>
      <x:c r="V10" s="12" t="n">
        <x:f>IF('Item Mapping'!$E$22="right",'Raw Answers'!V10-4,4-'Raw Answers'!V10)</x:f>
        <x:v>0</x:v>
      </x:c>
      <x:c r="W10" s="12" t="n">
        <x:f>IF('Item Mapping'!$E$23="right",'Raw Answers'!W10-4,4-'Raw Answers'!W10)</x:f>
        <x:v>-2</x:v>
      </x:c>
      <x:c r="X10" s="12" t="n">
        <x:f>IF('Item Mapping'!$E$24="right",'Raw Answers'!X10-4,4-'Raw Answers'!X10)</x:f>
        <x:v>1</x:v>
      </x:c>
      <x:c r="Y10" s="12" t="n">
        <x:f>IF('Item Mapping'!$E$25="right",'Raw Answers'!Y10-4,4-'Raw Answers'!Y10)</x:f>
        <x:v>1</x:v>
      </x:c>
      <x:c r="Z10" s="12" t="n">
        <x:f>IF('Item Mapping'!$E$26="right",'Raw Answers'!Z10-4,4-'Raw Answers'!Z10)</x:f>
        <x:v>0</x:v>
      </x:c>
      <x:c r="AA10" s="12" t="n">
        <x:f>IF('Item Mapping'!$E$27="right",'Raw Answers'!AA10-4,4-'Raw Answers'!AA10)</x:f>
        <x:v>-1</x:v>
      </x:c>
      <x:c r="AB10" s="12" t="n">
        <x:f>IF('Item Mapping'!$E$28="right",'Raw Answers'!AB10-4,4-'Raw Answers'!AB10)</x:f>
        <x:v>0</x:v>
      </x:c>
      <x:c r="AC10" s="13" t="n">
        <x:f>IF('Item Mapping'!$E$29="right",'Raw Answers'!AC10-4,4-'Raw Answers'!AC10)</x:f>
        <x:v>0</x:v>
      </x:c>
    </x:row>
    <x:row r="11">
      <x:c r="A11" s="11" t="str">
        <x:v>IN-03</x:v>
      </x:c>
      <x:c r="B11" s="12" t="str">
        <x:v>info-yu</x:v>
      </x:c>
      <x:c r="C11" s="12" t="str">
        <x:v>included</x:v>
      </x:c>
      <x:c r="D11" s="12" t="n">
        <x:f>IF('Item Mapping'!$E$4="right",'Raw Answers'!D11-4,4-'Raw Answers'!D11)</x:f>
        <x:v>-1</x:v>
      </x:c>
      <x:c r="E11" s="12" t="n">
        <x:f>IF('Item Mapping'!$E$5="right",'Raw Answers'!E11-4,4-'Raw Answers'!E11)</x:f>
        <x:v>-1</x:v>
      </x:c>
      <x:c r="F11" s="12" t="n">
        <x:f>IF('Item Mapping'!$E$6="right",'Raw Answers'!F11-4,4-'Raw Answers'!F11)</x:f>
        <x:v>-1</x:v>
      </x:c>
      <x:c r="G11" s="12" t="n">
        <x:f>IF('Item Mapping'!$E$7="right",'Raw Answers'!G11-4,4-'Raw Answers'!G11)</x:f>
        <x:v>1</x:v>
      </x:c>
      <x:c r="H11" s="12" t="n">
        <x:f>IF('Item Mapping'!$E$8="right",'Raw Answers'!H11-4,4-'Raw Answers'!H11)</x:f>
        <x:v>-1</x:v>
      </x:c>
      <x:c r="I11" s="12" t="n">
        <x:f>IF('Item Mapping'!$E$9="right",'Raw Answers'!I11-4,4-'Raw Answers'!I11)</x:f>
        <x:v>1</x:v>
      </x:c>
      <x:c r="J11" s="12" t="n">
        <x:f>IF('Item Mapping'!$E$10="right",'Raw Answers'!J11-4,4-'Raw Answers'!J11)</x:f>
        <x:v>0</x:v>
      </x:c>
      <x:c r="K11" s="12" t="n">
        <x:f>IF('Item Mapping'!$E$11="right",'Raw Answers'!K11-4,4-'Raw Answers'!K11)</x:f>
        <x:v>-1</x:v>
      </x:c>
      <x:c r="L11" s="12" t="n">
        <x:f>IF('Item Mapping'!$E$12="right",'Raw Answers'!L11-4,4-'Raw Answers'!L11)</x:f>
        <x:v>-1</x:v>
      </x:c>
      <x:c r="M11" s="12" t="n">
        <x:f>IF('Item Mapping'!$E$13="right",'Raw Answers'!M11-4,4-'Raw Answers'!M11)</x:f>
        <x:v>1</x:v>
      </x:c>
      <x:c r="N11" s="12" t="n">
        <x:f>IF('Item Mapping'!$E$14="right",'Raw Answers'!N11-4,4-'Raw Answers'!N11)</x:f>
        <x:v>0</x:v>
      </x:c>
      <x:c r="O11" s="12" t="n">
        <x:f>IF('Item Mapping'!$E$15="right",'Raw Answers'!O11-4,4-'Raw Answers'!O11)</x:f>
        <x:v>1</x:v>
      </x:c>
      <x:c r="P11" s="12" t="n">
        <x:f>IF('Item Mapping'!$E$16="right",'Raw Answers'!P11-4,4-'Raw Answers'!P11)</x:f>
        <x:v>0</x:v>
      </x:c>
      <x:c r="Q11" s="12" t="n">
        <x:f>IF('Item Mapping'!$E$17="right",'Raw Answers'!Q11-4,4-'Raw Answers'!Q11)</x:f>
        <x:v>-1</x:v>
      </x:c>
      <x:c r="R11" s="12" t="n">
        <x:f>IF('Item Mapping'!$E$18="right",'Raw Answers'!R11-4,4-'Raw Answers'!R11)</x:f>
        <x:v>0</x:v>
      </x:c>
      <x:c r="S11" s="12" t="n">
        <x:f>IF('Item Mapping'!$E$19="right",'Raw Answers'!S11-4,4-'Raw Answers'!S11)</x:f>
        <x:v>1</x:v>
      </x:c>
      <x:c r="T11" s="12" t="n">
        <x:f>IF('Item Mapping'!$E$20="right",'Raw Answers'!T11-4,4-'Raw Answers'!T11)</x:f>
        <x:v>-1</x:v>
      </x:c>
      <x:c r="U11" s="12" t="n">
        <x:f>IF('Item Mapping'!$E$21="right",'Raw Answers'!U11-4,4-'Raw Answers'!U11)</x:f>
        <x:v>1</x:v>
      </x:c>
      <x:c r="V11" s="12" t="n">
        <x:f>IF('Item Mapping'!$E$22="right",'Raw Answers'!V11-4,4-'Raw Answers'!V11)</x:f>
        <x:v>0</x:v>
      </x:c>
      <x:c r="W11" s="12" t="n">
        <x:f>IF('Item Mapping'!$E$23="right",'Raw Answers'!W11-4,4-'Raw Answers'!W11)</x:f>
        <x:v>1</x:v>
      </x:c>
      <x:c r="X11" s="12" t="n">
        <x:f>IF('Item Mapping'!$E$24="right",'Raw Answers'!X11-4,4-'Raw Answers'!X11)</x:f>
        <x:v>1</x:v>
      </x:c>
      <x:c r="Y11" s="12" t="n">
        <x:f>IF('Item Mapping'!$E$25="right",'Raw Answers'!Y11-4,4-'Raw Answers'!Y11)</x:f>
        <x:v>0</x:v>
      </x:c>
      <x:c r="Z11" s="12" t="n">
        <x:f>IF('Item Mapping'!$E$26="right",'Raw Answers'!Z11-4,4-'Raw Answers'!Z11)</x:f>
        <x:v>1</x:v>
      </x:c>
      <x:c r="AA11" s="12" t="n">
        <x:f>IF('Item Mapping'!$E$27="right",'Raw Answers'!AA11-4,4-'Raw Answers'!AA11)</x:f>
        <x:v>0</x:v>
      </x:c>
      <x:c r="AB11" s="12" t="n">
        <x:f>IF('Item Mapping'!$E$28="right",'Raw Answers'!AB11-4,4-'Raw Answers'!AB11)</x:f>
        <x:v>-1</x:v>
      </x:c>
      <x:c r="AC11" s="13" t="n">
        <x:f>IF('Item Mapping'!$E$29="right",'Raw Answers'!AC11-4,4-'Raw Answers'!AC11)</x:f>
        <x:v>1</x:v>
      </x:c>
    </x:row>
    <x:row r="12">
      <x:c r="A12" s="11" t="str">
        <x:v>IN-04</x:v>
      </x:c>
      <x:c r="B12" s="12" t="str">
        <x:v>info-yu</x:v>
      </x:c>
      <x:c r="C12" s="12" t="str">
        <x:v>included</x:v>
      </x:c>
      <x:c r="D12" s="12" t="n">
        <x:f>IF('Item Mapping'!$E$4="right",'Raw Answers'!D12-4,4-'Raw Answers'!D12)</x:f>
        <x:v>0</x:v>
      </x:c>
      <x:c r="E12" s="12" t="n">
        <x:f>IF('Item Mapping'!$E$5="right",'Raw Answers'!E12-4,4-'Raw Answers'!E12)</x:f>
        <x:v>0</x:v>
      </x:c>
      <x:c r="F12" s="12" t="n">
        <x:f>IF('Item Mapping'!$E$6="right",'Raw Answers'!F12-4,4-'Raw Answers'!F12)</x:f>
        <x:v>0</x:v>
      </x:c>
      <x:c r="G12" s="12" t="n">
        <x:f>IF('Item Mapping'!$E$7="right",'Raw Answers'!G12-4,4-'Raw Answers'!G12)</x:f>
        <x:v>1</x:v>
      </x:c>
      <x:c r="H12" s="12" t="n">
        <x:f>IF('Item Mapping'!$E$8="right",'Raw Answers'!H12-4,4-'Raw Answers'!H12)</x:f>
        <x:v>0</x:v>
      </x:c>
      <x:c r="I12" s="12" t="n">
        <x:f>IF('Item Mapping'!$E$9="right",'Raw Answers'!I12-4,4-'Raw Answers'!I12)</x:f>
        <x:v>1</x:v>
      </x:c>
      <x:c r="J12" s="12" t="n">
        <x:f>IF('Item Mapping'!$E$10="right",'Raw Answers'!J12-4,4-'Raw Answers'!J12)</x:f>
        <x:v>0</x:v>
      </x:c>
      <x:c r="K12" s="12" t="n">
        <x:f>IF('Item Mapping'!$E$11="right",'Raw Answers'!K12-4,4-'Raw Answers'!K12)</x:f>
        <x:v>0</x:v>
      </x:c>
      <x:c r="L12" s="12" t="n">
        <x:f>IF('Item Mapping'!$E$12="right",'Raw Answers'!L12-4,4-'Raw Answers'!L12)</x:f>
        <x:v>0</x:v>
      </x:c>
      <x:c r="M12" s="12" t="n">
        <x:f>IF('Item Mapping'!$E$13="right",'Raw Answers'!M12-4,4-'Raw Answers'!M12)</x:f>
        <x:v>1</x:v>
      </x:c>
      <x:c r="N12" s="12" t="n">
        <x:f>IF('Item Mapping'!$E$14="right",'Raw Answers'!N12-4,4-'Raw Answers'!N12)</x:f>
        <x:v>0</x:v>
      </x:c>
      <x:c r="O12" s="12" t="n">
        <x:f>IF('Item Mapping'!$E$15="right",'Raw Answers'!O12-4,4-'Raw Answers'!O12)</x:f>
        <x:v>0</x:v>
      </x:c>
      <x:c r="P12" s="12" t="n">
        <x:f>IF('Item Mapping'!$E$16="right",'Raw Answers'!P12-4,4-'Raw Answers'!P12)</x:f>
        <x:v>0</x:v>
      </x:c>
      <x:c r="Q12" s="12" t="n">
        <x:f>IF('Item Mapping'!$E$17="right",'Raw Answers'!Q12-4,4-'Raw Answers'!Q12)</x:f>
        <x:v>0</x:v>
      </x:c>
      <x:c r="R12" s="12" t="n">
        <x:f>IF('Item Mapping'!$E$18="right",'Raw Answers'!R12-4,4-'Raw Answers'!R12)</x:f>
        <x:v>0</x:v>
      </x:c>
      <x:c r="S12" s="12" t="n">
        <x:f>IF('Item Mapping'!$E$19="right",'Raw Answers'!S12-4,4-'Raw Answers'!S12)</x:f>
        <x:v>1</x:v>
      </x:c>
      <x:c r="T12" s="12" t="n">
        <x:f>IF('Item Mapping'!$E$20="right",'Raw Answers'!T12-4,4-'Raw Answers'!T12)</x:f>
        <x:v>0</x:v>
      </x:c>
      <x:c r="U12" s="12" t="n">
        <x:f>IF('Item Mapping'!$E$21="right",'Raw Answers'!U12-4,4-'Raw Answers'!U12)</x:f>
        <x:v>1</x:v>
      </x:c>
      <x:c r="V12" s="12" t="n">
        <x:f>IF('Item Mapping'!$E$22="right",'Raw Answers'!V12-4,4-'Raw Answers'!V12)</x:f>
        <x:v>1</x:v>
      </x:c>
      <x:c r="W12" s="12" t="n">
        <x:f>IF('Item Mapping'!$E$23="right",'Raw Answers'!W12-4,4-'Raw Answers'!W12)</x:f>
        <x:v>1</x:v>
      </x:c>
      <x:c r="X12" s="12" t="n">
        <x:f>IF('Item Mapping'!$E$24="right",'Raw Answers'!X12-4,4-'Raw Answers'!X12)</x:f>
        <x:v>0</x:v>
      </x:c>
      <x:c r="Y12" s="12" t="n">
        <x:f>IF('Item Mapping'!$E$25="right",'Raw Answers'!Y12-4,4-'Raw Answers'!Y12)</x:f>
        <x:v>0</x:v>
      </x:c>
      <x:c r="Z12" s="12" t="n">
        <x:f>IF('Item Mapping'!$E$26="right",'Raw Answers'!Z12-4,4-'Raw Answers'!Z12)</x:f>
        <x:v>1</x:v>
      </x:c>
      <x:c r="AA12" s="12" t="n">
        <x:f>IF('Item Mapping'!$E$27="right",'Raw Answers'!AA12-4,4-'Raw Answers'!AA12)</x:f>
        <x:v>1</x:v>
      </x:c>
      <x:c r="AB12" s="12" t="n">
        <x:f>IF('Item Mapping'!$E$28="right",'Raw Answers'!AB12-4,4-'Raw Answers'!AB12)</x:f>
        <x:v>1</x:v>
      </x:c>
      <x:c r="AC12" s="13" t="n">
        <x:f>IF('Item Mapping'!$E$29="right",'Raw Answers'!AC12-4,4-'Raw Answers'!AC12)</x:f>
        <x:v>1</x:v>
      </x:c>
    </x:row>
    <x:row r="13">
      <x:c r="A13" s="14" t="str">
        <x:v>IN-05</x:v>
      </x:c>
      <x:c r="B13" s="15" t="str">
        <x:v>info-yu</x:v>
      </x:c>
      <x:c r="C13" s="15" t="str">
        <x:v>excluded</x:v>
      </x:c>
      <x:c r="D13" s="15" t="n">
        <x:f>IF('Item Mapping'!$E$4="right",'Raw Answers'!D13-4,4-'Raw Answers'!D13)</x:f>
        <x:v>-3</x:v>
      </x:c>
      <x:c r="E13" s="15" t="n">
        <x:f>IF('Item Mapping'!$E$5="right",'Raw Answers'!E13-4,4-'Raw Answers'!E13)</x:f>
        <x:v>-3</x:v>
      </x:c>
      <x:c r="F13" s="15" t="n">
        <x:f>IF('Item Mapping'!$E$6="right",'Raw Answers'!F13-4,4-'Raw Answers'!F13)</x:f>
        <x:v>3</x:v>
      </x:c>
      <x:c r="G13" s="15" t="n">
        <x:f>IF('Item Mapping'!$E$7="right",'Raw Answers'!G13-4,4-'Raw Answers'!G13)</x:f>
        <x:v>3</x:v>
      </x:c>
      <x:c r="H13" s="15" t="n">
        <x:f>IF('Item Mapping'!$E$8="right",'Raw Answers'!H13-4,4-'Raw Answers'!H13)</x:f>
        <x:v>3</x:v>
      </x:c>
      <x:c r="I13" s="15" t="n">
        <x:f>IF('Item Mapping'!$E$9="right",'Raw Answers'!I13-4,4-'Raw Answers'!I13)</x:f>
        <x:v>-3</x:v>
      </x:c>
      <x:c r="J13" s="15" t="n">
        <x:f>IF('Item Mapping'!$E$10="right",'Raw Answers'!J13-4,4-'Raw Answers'!J13)</x:f>
        <x:v>-3</x:v>
      </x:c>
      <x:c r="K13" s="15" t="n">
        <x:f>IF('Item Mapping'!$E$11="right",'Raw Answers'!K13-4,4-'Raw Answers'!K13)</x:f>
        <x:v>-3</x:v>
      </x:c>
      <x:c r="L13" s="15" t="n">
        <x:f>IF('Item Mapping'!$E$12="right",'Raw Answers'!L13-4,4-'Raw Answers'!L13)</x:f>
        <x:v>3</x:v>
      </x:c>
      <x:c r="M13" s="15" t="n">
        <x:f>IF('Item Mapping'!$E$13="right",'Raw Answers'!M13-4,4-'Raw Answers'!M13)</x:f>
        <x:v>3</x:v>
      </x:c>
      <x:c r="N13" s="15" t="n">
        <x:f>IF('Item Mapping'!$E$14="right",'Raw Answers'!N13-4,4-'Raw Answers'!N13)</x:f>
        <x:v>-3</x:v>
      </x:c>
      <x:c r="O13" s="15" t="n">
        <x:f>IF('Item Mapping'!$E$15="right",'Raw Answers'!O13-4,4-'Raw Answers'!O13)</x:f>
        <x:v>3</x:v>
      </x:c>
      <x:c r="P13" s="15" t="n">
        <x:f>IF('Item Mapping'!$E$16="right",'Raw Answers'!P13-4,4-'Raw Answers'!P13)</x:f>
        <x:v>-3</x:v>
      </x:c>
      <x:c r="Q13" s="15" t="n">
        <x:f>IF('Item Mapping'!$E$17="right",'Raw Answers'!Q13-4,4-'Raw Answers'!Q13)</x:f>
        <x:v>-3</x:v>
      </x:c>
      <x:c r="R13" s="15" t="n">
        <x:f>IF('Item Mapping'!$E$18="right",'Raw Answers'!R13-4,4-'Raw Answers'!R13)</x:f>
        <x:v>-3</x:v>
      </x:c>
      <x:c r="S13" s="15" t="n">
        <x:f>IF('Item Mapping'!$E$19="right",'Raw Answers'!S13-4,4-'Raw Answers'!S13)</x:f>
        <x:v>-3</x:v>
      </x:c>
      <x:c r="T13" s="15" t="n">
        <x:f>IF('Item Mapping'!$E$20="right",'Raw Answers'!T13-4,4-'Raw Answers'!T13)</x:f>
        <x:v>3</x:v>
      </x:c>
      <x:c r="U13" s="15" t="n">
        <x:f>IF('Item Mapping'!$E$21="right",'Raw Answers'!U13-4,4-'Raw Answers'!U13)</x:f>
        <x:v>3</x:v>
      </x:c>
      <x:c r="V13" s="15" t="n">
        <x:f>IF('Item Mapping'!$E$22="right",'Raw Answers'!V13-4,4-'Raw Answers'!V13)</x:f>
        <x:v>3</x:v>
      </x:c>
      <x:c r="W13" s="15" t="n">
        <x:f>IF('Item Mapping'!$E$23="right",'Raw Answers'!W13-4,4-'Raw Answers'!W13)</x:f>
        <x:v>-3</x:v>
      </x:c>
      <x:c r="X13" s="15" t="n">
        <x:f>IF('Item Mapping'!$E$24="right",'Raw Answers'!X13-4,4-'Raw Answers'!X13)</x:f>
        <x:v>3</x:v>
      </x:c>
      <x:c r="Y13" s="15" t="n">
        <x:f>IF('Item Mapping'!$E$25="right",'Raw Answers'!Y13-4,4-'Raw Answers'!Y13)</x:f>
        <x:v>-3</x:v>
      </x:c>
      <x:c r="Z13" s="15" t="n">
        <x:f>IF('Item Mapping'!$E$26="right",'Raw Answers'!Z13-4,4-'Raw Answers'!Z13)</x:f>
        <x:v>3</x:v>
      </x:c>
      <x:c r="AA13" s="15" t="n">
        <x:f>IF('Item Mapping'!$E$27="right",'Raw Answers'!AA13-4,4-'Raw Answers'!AA13)</x:f>
        <x:v>3</x:v>
      </x:c>
      <x:c r="AB13" s="15" t="n">
        <x:f>IF('Item Mapping'!$E$28="right",'Raw Answers'!AB13-4,4-'Raw Answers'!AB13)</x:f>
        <x:v>3</x:v>
      </x:c>
      <x:c r="AC13" s="16" t="n">
        <x:f>IF('Item Mapping'!$E$29="right",'Raw Answers'!AC13-4,4-'Raw Answers'!AC13)</x:f>
        <x:v>-3</x:v>
      </x:c>
    </x:row>
  </x:sheetData>
  <x:mergeCells>
    <x:mergeCell ref="A1:A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>
      <x:c r="A1" s="3" t="str">
        <x:v>Formula-derived respondent scale means and totals for Cronbach alpha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8" t="str">
        <x:v>Unit</x:v>
      </x:c>
      <x:c r="B3" s="9" t="str">
        <x:v>Scale</x:v>
      </x:c>
      <x:c r="C3" s="9" t="str">
        <x:v>Respondent 1 mean</x:v>
      </x:c>
      <x:c r="D3" s="9" t="str">
        <x:v>Respondent 2 mean</x:v>
      </x:c>
      <x:c r="E3" s="9" t="str">
        <x:v>Respondent 3 mean</x:v>
      </x:c>
      <x:c r="F3" s="9" t="str">
        <x:v>Respondent 4 mean</x:v>
      </x:c>
      <x:c r="G3" s="9" t="str">
        <x:v>Respondent 1 total</x:v>
      </x:c>
      <x:c r="H3" s="9" t="str">
        <x:v>Respondent 2 total</x:v>
      </x:c>
      <x:c r="I3" s="9" t="str">
        <x:v>Respondent 3 total</x:v>
      </x:c>
      <x:c r="J3" s="10" t="str">
        <x:v>Respondent 4 total</x:v>
      </x:c>
    </x:row>
    <x:row r="4">
      <x:c r="A4" s="11" t="str">
        <x:v>ibadah-yu</x:v>
      </x:c>
      <x:c r="B4" s="12" t="str">
        <x:v>Attractiveness</x:v>
      </x:c>
      <x:c r="C4" s="17" t="n">
        <x:f>AVERAGE('Transformed Scores'!D4,'Transformed Scores'!O4,'Transformed Scores'!Q4,'Transformed Scores'!S4,'Transformed Scores'!AA4,'Transformed Scores'!AB4)</x:f>
        <x:v>1.6666666666666667</x:v>
      </x:c>
      <x:c r="D4" s="17" t="n">
        <x:f>AVERAGE('Transformed Scores'!D5,'Transformed Scores'!O5,'Transformed Scores'!Q5,'Transformed Scores'!S5,'Transformed Scores'!AA5,'Transformed Scores'!AB5)</x:f>
        <x:v>1</x:v>
      </x:c>
      <x:c r="E4" s="17" t="n">
        <x:f>AVERAGE('Transformed Scores'!D6,'Transformed Scores'!O6,'Transformed Scores'!Q6,'Transformed Scores'!S6,'Transformed Scores'!AA6,'Transformed Scores'!AB6)</x:f>
        <x:v>0.6666666666666666</x:v>
      </x:c>
      <x:c r="F4" s="17" t="n">
        <x:f>AVERAGE('Transformed Scores'!D7,'Transformed Scores'!O7,'Transformed Scores'!Q7,'Transformed Scores'!S7,'Transformed Scores'!AA7,'Transformed Scores'!AB7)</x:f>
        <x:v>0.6666666666666666</x:v>
      </x:c>
      <x:c r="G4" s="17" t="n">
        <x:f>SUM('Transformed Scores'!D4,'Transformed Scores'!O4,'Transformed Scores'!Q4,'Transformed Scores'!S4,'Transformed Scores'!AA4,'Transformed Scores'!AB4)</x:f>
        <x:v>10</x:v>
      </x:c>
      <x:c r="H4" s="17" t="n">
        <x:f>SUM('Transformed Scores'!D5,'Transformed Scores'!O5,'Transformed Scores'!Q5,'Transformed Scores'!S5,'Transformed Scores'!AA5,'Transformed Scores'!AB5)</x:f>
        <x:v>6</x:v>
      </x:c>
      <x:c r="I4" s="17" t="n">
        <x:f>SUM('Transformed Scores'!D6,'Transformed Scores'!O6,'Transformed Scores'!Q6,'Transformed Scores'!S6,'Transformed Scores'!AA6,'Transformed Scores'!AB6)</x:f>
        <x:v>4</x:v>
      </x:c>
      <x:c r="J4" s="18" t="n">
        <x:f>SUM('Transformed Scores'!D7,'Transformed Scores'!O7,'Transformed Scores'!Q7,'Transformed Scores'!S7,'Transformed Scores'!AA7,'Transformed Scores'!AB7)</x:f>
        <x:v>4</x:v>
      </x:c>
    </x:row>
    <x:row r="5">
      <x:c r="A5" s="11" t="str">
        <x:v>ibadah-yu</x:v>
      </x:c>
      <x:c r="B5" s="12" t="str">
        <x:v>Perspicuity</x:v>
      </x:c>
      <x:c r="C5" s="17" t="n">
        <x:f>AVERAGE('Transformed Scores'!E4,'Transformed Scores'!G4,'Transformed Scores'!P4,'Transformed Scores'!X4)</x:f>
        <x:v>1.25</x:v>
      </x:c>
      <x:c r="D5" s="17" t="n">
        <x:f>AVERAGE('Transformed Scores'!E5,'Transformed Scores'!G5,'Transformed Scores'!P5,'Transformed Scores'!X5)</x:f>
        <x:v>1.5</x:v>
      </x:c>
      <x:c r="E5" s="17" t="n">
        <x:f>AVERAGE('Transformed Scores'!E6,'Transformed Scores'!G6,'Transformed Scores'!P6,'Transformed Scores'!X6)</x:f>
        <x:v>1.25</x:v>
      </x:c>
      <x:c r="F5" s="17" t="n">
        <x:f>AVERAGE('Transformed Scores'!E7,'Transformed Scores'!G7,'Transformed Scores'!P7,'Transformed Scores'!X7)</x:f>
        <x:v>0.5</x:v>
      </x:c>
      <x:c r="G5" s="17" t="n">
        <x:f>SUM('Transformed Scores'!E4,'Transformed Scores'!G4,'Transformed Scores'!P4,'Transformed Scores'!X4)</x:f>
        <x:v>5</x:v>
      </x:c>
      <x:c r="H5" s="17" t="n">
        <x:f>SUM('Transformed Scores'!E5,'Transformed Scores'!G5,'Transformed Scores'!P5,'Transformed Scores'!X5)</x:f>
        <x:v>6</x:v>
      </x:c>
      <x:c r="I5" s="17" t="n">
        <x:f>SUM('Transformed Scores'!E6,'Transformed Scores'!G6,'Transformed Scores'!P6,'Transformed Scores'!X6)</x:f>
        <x:v>5</x:v>
      </x:c>
      <x:c r="J5" s="18" t="n">
        <x:f>SUM('Transformed Scores'!E7,'Transformed Scores'!G7,'Transformed Scores'!P7,'Transformed Scores'!X7)</x:f>
        <x:v>2</x:v>
      </x:c>
    </x:row>
    <x:row r="6">
      <x:c r="A6" s="11" t="str">
        <x:v>ibadah-yu</x:v>
      </x:c>
      <x:c r="B6" s="12" t="str">
        <x:v>Efficiency</x:v>
      </x:c>
      <x:c r="C6" s="17" t="n">
        <x:f>AVERAGE('Transformed Scores'!L4,'Transformed Scores'!W4,'Transformed Scores'!Y4,'Transformed Scores'!Z4)</x:f>
        <x:v>1.25</x:v>
      </x:c>
      <x:c r="D6" s="17" t="n">
        <x:f>AVERAGE('Transformed Scores'!L5,'Transformed Scores'!W5,'Transformed Scores'!Y5,'Transformed Scores'!Z5)</x:f>
        <x:v>0.75</x:v>
      </x:c>
      <x:c r="E6" s="17" t="n">
        <x:f>AVERAGE('Transformed Scores'!L6,'Transformed Scores'!W6,'Transformed Scores'!Y6,'Transformed Scores'!Z6)</x:f>
        <x:v>1</x:v>
      </x:c>
      <x:c r="F6" s="17" t="n">
        <x:f>AVERAGE('Transformed Scores'!L7,'Transformed Scores'!W7,'Transformed Scores'!Y7,'Transformed Scores'!Z7)</x:f>
        <x:v>0.5</x:v>
      </x:c>
      <x:c r="G6" s="17" t="n">
        <x:f>SUM('Transformed Scores'!L4,'Transformed Scores'!W4,'Transformed Scores'!Y4,'Transformed Scores'!Z4)</x:f>
        <x:v>5</x:v>
      </x:c>
      <x:c r="H6" s="17" t="n">
        <x:f>SUM('Transformed Scores'!L5,'Transformed Scores'!W5,'Transformed Scores'!Y5,'Transformed Scores'!Z5)</x:f>
        <x:v>3</x:v>
      </x:c>
      <x:c r="I6" s="17" t="n">
        <x:f>SUM('Transformed Scores'!L6,'Transformed Scores'!W6,'Transformed Scores'!Y6,'Transformed Scores'!Z6)</x:f>
        <x:v>4</x:v>
      </x:c>
      <x:c r="J6" s="18" t="n">
        <x:f>SUM('Transformed Scores'!L7,'Transformed Scores'!W7,'Transformed Scores'!Y7,'Transformed Scores'!Z7)</x:f>
        <x:v>2</x:v>
      </x:c>
    </x:row>
    <x:row r="7">
      <x:c r="A7" s="11" t="str">
        <x:v>ibadah-yu</x:v>
      </x:c>
      <x:c r="B7" s="12" t="str">
        <x:v>Dependability</x:v>
      </x:c>
      <x:c r="C7" s="17" t="n">
        <x:f>AVERAGE('Transformed Scores'!K4,'Transformed Scores'!N4,'Transformed Scores'!T4,'Transformed Scores'!V4)</x:f>
        <x:v>1.25</x:v>
      </x:c>
      <x:c r="D7" s="17" t="n">
        <x:f>AVERAGE('Transformed Scores'!K5,'Transformed Scores'!N5,'Transformed Scores'!T5,'Transformed Scores'!V5)</x:f>
        <x:v>0.75</x:v>
      </x:c>
      <x:c r="E7" s="17" t="n">
        <x:f>AVERAGE('Transformed Scores'!K6,'Transformed Scores'!N6,'Transformed Scores'!T6,'Transformed Scores'!V6)</x:f>
        <x:v>0.25</x:v>
      </x:c>
      <x:c r="F7" s="17" t="n">
        <x:f>AVERAGE('Transformed Scores'!K7,'Transformed Scores'!N7,'Transformed Scores'!T7,'Transformed Scores'!V7)</x:f>
        <x:v>0.5</x:v>
      </x:c>
      <x:c r="G7" s="17" t="n">
        <x:f>SUM('Transformed Scores'!K4,'Transformed Scores'!N4,'Transformed Scores'!T4,'Transformed Scores'!V4)</x:f>
        <x:v>5</x:v>
      </x:c>
      <x:c r="H7" s="17" t="n">
        <x:f>SUM('Transformed Scores'!K5,'Transformed Scores'!N5,'Transformed Scores'!T5,'Transformed Scores'!V5)</x:f>
        <x:v>3</x:v>
      </x:c>
      <x:c r="I7" s="17" t="n">
        <x:f>SUM('Transformed Scores'!K6,'Transformed Scores'!N6,'Transformed Scores'!T6,'Transformed Scores'!V6)</x:f>
        <x:v>1</x:v>
      </x:c>
      <x:c r="J7" s="18" t="n">
        <x:f>SUM('Transformed Scores'!K7,'Transformed Scores'!N7,'Transformed Scores'!T7,'Transformed Scores'!V7)</x:f>
        <x:v>2</x:v>
      </x:c>
    </x:row>
    <x:row r="8">
      <x:c r="A8" s="11" t="str">
        <x:v>ibadah-yu</x:v>
      </x:c>
      <x:c r="B8" s="12" t="str">
        <x:v>Stimulation</x:v>
      </x:c>
      <x:c r="C8" s="17" t="n">
        <x:f>AVERAGE('Transformed Scores'!H4,'Transformed Scores'!I4,'Transformed Scores'!J4,'Transformed Scores'!U4)</x:f>
        <x:v>1.5</x:v>
      </x:c>
      <x:c r="D8" s="17" t="n">
        <x:f>AVERAGE('Transformed Scores'!H5,'Transformed Scores'!I5,'Transformed Scores'!J5,'Transformed Scores'!U5)</x:f>
        <x:v>1.75</x:v>
      </x:c>
      <x:c r="E8" s="17" t="n">
        <x:f>AVERAGE('Transformed Scores'!H6,'Transformed Scores'!I6,'Transformed Scores'!J6,'Transformed Scores'!U6)</x:f>
        <x:v>1.25</x:v>
      </x:c>
      <x:c r="F8" s="17" t="n">
        <x:f>AVERAGE('Transformed Scores'!H7,'Transformed Scores'!I7,'Transformed Scores'!J7,'Transformed Scores'!U7)</x:f>
        <x:v>0.5</x:v>
      </x:c>
      <x:c r="G8" s="17" t="n">
        <x:f>SUM('Transformed Scores'!H4,'Transformed Scores'!I4,'Transformed Scores'!J4,'Transformed Scores'!U4)</x:f>
        <x:v>6</x:v>
      </x:c>
      <x:c r="H8" s="17" t="n">
        <x:f>SUM('Transformed Scores'!H5,'Transformed Scores'!I5,'Transformed Scores'!J5,'Transformed Scores'!U5)</x:f>
        <x:v>7</x:v>
      </x:c>
      <x:c r="I8" s="17" t="n">
        <x:f>SUM('Transformed Scores'!H6,'Transformed Scores'!I6,'Transformed Scores'!J6,'Transformed Scores'!U6)</x:f>
        <x:v>5</x:v>
      </x:c>
      <x:c r="J8" s="18" t="n">
        <x:f>SUM('Transformed Scores'!H7,'Transformed Scores'!I7,'Transformed Scores'!J7,'Transformed Scores'!U7)</x:f>
        <x:v>2</x:v>
      </x:c>
    </x:row>
    <x:row r="9">
      <x:c r="A9" s="11" t="str">
        <x:v>ibadah-yu</x:v>
      </x:c>
      <x:c r="B9" s="12" t="str">
        <x:v>Novelty</x:v>
      </x:c>
      <x:c r="C9" s="17" t="n">
        <x:f>AVERAGE('Transformed Scores'!F4,'Transformed Scores'!M4,'Transformed Scores'!R4,'Transformed Scores'!AC4)</x:f>
        <x:v>1.5</x:v>
      </x:c>
      <x:c r="D9" s="17" t="n">
        <x:f>AVERAGE('Transformed Scores'!F5,'Transformed Scores'!M5,'Transformed Scores'!R5,'Transformed Scores'!AC5)</x:f>
        <x:v>1</x:v>
      </x:c>
      <x:c r="E9" s="17" t="n">
        <x:f>AVERAGE('Transformed Scores'!F6,'Transformed Scores'!M6,'Transformed Scores'!R6,'Transformed Scores'!AC6)</x:f>
        <x:v>1</x:v>
      </x:c>
      <x:c r="F9" s="17" t="n">
        <x:f>AVERAGE('Transformed Scores'!F7,'Transformed Scores'!M7,'Transformed Scores'!R7,'Transformed Scores'!AC7)</x:f>
        <x:v>0.75</x:v>
      </x:c>
      <x:c r="G9" s="17" t="n">
        <x:f>SUM('Transformed Scores'!F4,'Transformed Scores'!M4,'Transformed Scores'!R4,'Transformed Scores'!AC4)</x:f>
        <x:v>6</x:v>
      </x:c>
      <x:c r="H9" s="17" t="n">
        <x:f>SUM('Transformed Scores'!F5,'Transformed Scores'!M5,'Transformed Scores'!R5,'Transformed Scores'!AC5)</x:f>
        <x:v>4</x:v>
      </x:c>
      <x:c r="I9" s="17" t="n">
        <x:f>SUM('Transformed Scores'!F6,'Transformed Scores'!M6,'Transformed Scores'!R6,'Transformed Scores'!AC6)</x:f>
        <x:v>4</x:v>
      </x:c>
      <x:c r="J9" s="18" t="n">
        <x:f>SUM('Transformed Scores'!F7,'Transformed Scores'!M7,'Transformed Scores'!R7,'Transformed Scores'!AC7)</x:f>
        <x:v>3</x:v>
      </x:c>
    </x:row>
    <x:row r="10">
      <x:c r="A10" s="11" t="str">
        <x:v>info-yu</x:v>
      </x:c>
      <x:c r="B10" s="12" t="str">
        <x:v>Attractiveness</x:v>
      </x:c>
      <x:c r="C10" s="17" t="n">
        <x:f>AVERAGE('Transformed Scores'!D9,'Transformed Scores'!O9,'Transformed Scores'!Q9,'Transformed Scores'!S9,'Transformed Scores'!AA9,'Transformed Scores'!AB9)</x:f>
        <x:v>1.5</x:v>
      </x:c>
      <x:c r="D10" s="17" t="n">
        <x:f>AVERAGE('Transformed Scores'!D10,'Transformed Scores'!O10,'Transformed Scores'!Q10,'Transformed Scores'!S10,'Transformed Scores'!AA10,'Transformed Scores'!AB10)</x:f>
        <x:v>-0.3333333333333333</x:v>
      </x:c>
      <x:c r="E10" s="17" t="n">
        <x:f>AVERAGE('Transformed Scores'!D11,'Transformed Scores'!O11,'Transformed Scores'!Q11,'Transformed Scores'!S11,'Transformed Scores'!AA11,'Transformed Scores'!AB11)</x:f>
        <x:v>-0.16666666666666666</x:v>
      </x:c>
      <x:c r="F10" s="17" t="n">
        <x:f>AVERAGE('Transformed Scores'!D12,'Transformed Scores'!O12,'Transformed Scores'!Q12,'Transformed Scores'!S12,'Transformed Scores'!AA12,'Transformed Scores'!AB12)</x:f>
        <x:v>0.5</x:v>
      </x:c>
      <x:c r="G10" s="17" t="n">
        <x:f>SUM('Transformed Scores'!D9,'Transformed Scores'!O9,'Transformed Scores'!Q9,'Transformed Scores'!S9,'Transformed Scores'!AA9,'Transformed Scores'!AB9)</x:f>
        <x:v>9</x:v>
      </x:c>
      <x:c r="H10" s="17" t="n">
        <x:f>SUM('Transformed Scores'!D10,'Transformed Scores'!O10,'Transformed Scores'!Q10,'Transformed Scores'!S10,'Transformed Scores'!AA10,'Transformed Scores'!AB10)</x:f>
        <x:v>-2</x:v>
      </x:c>
      <x:c r="I10" s="17" t="n">
        <x:f>SUM('Transformed Scores'!D11,'Transformed Scores'!O11,'Transformed Scores'!Q11,'Transformed Scores'!S11,'Transformed Scores'!AA11,'Transformed Scores'!AB11)</x:f>
        <x:v>-1</x:v>
      </x:c>
      <x:c r="J10" s="18" t="n">
        <x:f>SUM('Transformed Scores'!D12,'Transformed Scores'!O12,'Transformed Scores'!Q12,'Transformed Scores'!S12,'Transformed Scores'!AA12,'Transformed Scores'!AB12)</x:f>
        <x:v>3</x:v>
      </x:c>
    </x:row>
    <x:row r="11">
      <x:c r="A11" s="11" t="str">
        <x:v>info-yu</x:v>
      </x:c>
      <x:c r="B11" s="12" t="str">
        <x:v>Perspicuity</x:v>
      </x:c>
      <x:c r="C11" s="17" t="n">
        <x:f>AVERAGE('Transformed Scores'!E9,'Transformed Scores'!G9,'Transformed Scores'!P9,'Transformed Scores'!X9)</x:f>
        <x:v>1.5</x:v>
      </x:c>
      <x:c r="D11" s="17" t="n">
        <x:f>AVERAGE('Transformed Scores'!E10,'Transformed Scores'!G10,'Transformed Scores'!P10,'Transformed Scores'!X10)</x:f>
        <x:v>0.75</x:v>
      </x:c>
      <x:c r="E11" s="17" t="n">
        <x:f>AVERAGE('Transformed Scores'!E11,'Transformed Scores'!G11,'Transformed Scores'!P11,'Transformed Scores'!X11)</x:f>
        <x:v>0.25</x:v>
      </x:c>
      <x:c r="F11" s="17" t="n">
        <x:f>AVERAGE('Transformed Scores'!E12,'Transformed Scores'!G12,'Transformed Scores'!P12,'Transformed Scores'!X12)</x:f>
        <x:v>0.25</x:v>
      </x:c>
      <x:c r="G11" s="17" t="n">
        <x:f>SUM('Transformed Scores'!E9,'Transformed Scores'!G9,'Transformed Scores'!P9,'Transformed Scores'!X9)</x:f>
        <x:v>6</x:v>
      </x:c>
      <x:c r="H11" s="17" t="n">
        <x:f>SUM('Transformed Scores'!E10,'Transformed Scores'!G10,'Transformed Scores'!P10,'Transformed Scores'!X10)</x:f>
        <x:v>3</x:v>
      </x:c>
      <x:c r="I11" s="17" t="n">
        <x:f>SUM('Transformed Scores'!E11,'Transformed Scores'!G11,'Transformed Scores'!P11,'Transformed Scores'!X11)</x:f>
        <x:v>1</x:v>
      </x:c>
      <x:c r="J11" s="18" t="n">
        <x:f>SUM('Transformed Scores'!E12,'Transformed Scores'!G12,'Transformed Scores'!P12,'Transformed Scores'!X12)</x:f>
        <x:v>1</x:v>
      </x:c>
    </x:row>
    <x:row r="12">
      <x:c r="A12" s="11" t="str">
        <x:v>info-yu</x:v>
      </x:c>
      <x:c r="B12" s="12" t="str">
        <x:v>Efficiency</x:v>
      </x:c>
      <x:c r="C12" s="17" t="n">
        <x:f>AVERAGE('Transformed Scores'!L9,'Transformed Scores'!W9,'Transformed Scores'!Y9,'Transformed Scores'!Z9)</x:f>
        <x:v>1.5</x:v>
      </x:c>
      <x:c r="D12" s="17" t="n">
        <x:f>AVERAGE('Transformed Scores'!L10,'Transformed Scores'!W10,'Transformed Scores'!Y10,'Transformed Scores'!Z10)</x:f>
        <x:v>0</x:v>
      </x:c>
      <x:c r="E12" s="17" t="n">
        <x:f>AVERAGE('Transformed Scores'!L11,'Transformed Scores'!W11,'Transformed Scores'!Y11,'Transformed Scores'!Z11)</x:f>
        <x:v>0.25</x:v>
      </x:c>
      <x:c r="F12" s="17" t="n">
        <x:f>AVERAGE('Transformed Scores'!L12,'Transformed Scores'!W12,'Transformed Scores'!Y12,'Transformed Scores'!Z12)</x:f>
        <x:v>0.5</x:v>
      </x:c>
      <x:c r="G12" s="17" t="n">
        <x:f>SUM('Transformed Scores'!L9,'Transformed Scores'!W9,'Transformed Scores'!Y9,'Transformed Scores'!Z9)</x:f>
        <x:v>6</x:v>
      </x:c>
      <x:c r="H12" s="17" t="n">
        <x:f>SUM('Transformed Scores'!L10,'Transformed Scores'!W10,'Transformed Scores'!Y10,'Transformed Scores'!Z10)</x:f>
        <x:v>0</x:v>
      </x:c>
      <x:c r="I12" s="17" t="n">
        <x:f>SUM('Transformed Scores'!L11,'Transformed Scores'!W11,'Transformed Scores'!Y11,'Transformed Scores'!Z11)</x:f>
        <x:v>1</x:v>
      </x:c>
      <x:c r="J12" s="18" t="n">
        <x:f>SUM('Transformed Scores'!L12,'Transformed Scores'!W12,'Transformed Scores'!Y12,'Transformed Scores'!Z12)</x:f>
        <x:v>2</x:v>
      </x:c>
    </x:row>
    <x:row r="13">
      <x:c r="A13" s="11" t="str">
        <x:v>info-yu</x:v>
      </x:c>
      <x:c r="B13" s="12" t="str">
        <x:v>Dependability</x:v>
      </x:c>
      <x:c r="C13" s="17" t="n">
        <x:f>AVERAGE('Transformed Scores'!K9,'Transformed Scores'!N9,'Transformed Scores'!T9,'Transformed Scores'!V9)</x:f>
        <x:v>1.5</x:v>
      </x:c>
      <x:c r="D13" s="17" t="n">
        <x:f>AVERAGE('Transformed Scores'!K10,'Transformed Scores'!N10,'Transformed Scores'!T10,'Transformed Scores'!V10)</x:f>
        <x:v>-0.5</x:v>
      </x:c>
      <x:c r="E13" s="17" t="n">
        <x:f>AVERAGE('Transformed Scores'!K11,'Transformed Scores'!N11,'Transformed Scores'!T11,'Transformed Scores'!V11)</x:f>
        <x:v>-0.5</x:v>
      </x:c>
      <x:c r="F13" s="17" t="n">
        <x:f>AVERAGE('Transformed Scores'!K12,'Transformed Scores'!N12,'Transformed Scores'!T12,'Transformed Scores'!V12)</x:f>
        <x:v>0.25</x:v>
      </x:c>
      <x:c r="G13" s="17" t="n">
        <x:f>SUM('Transformed Scores'!K9,'Transformed Scores'!N9,'Transformed Scores'!T9,'Transformed Scores'!V9)</x:f>
        <x:v>6</x:v>
      </x:c>
      <x:c r="H13" s="17" t="n">
        <x:f>SUM('Transformed Scores'!K10,'Transformed Scores'!N10,'Transformed Scores'!T10,'Transformed Scores'!V10)</x:f>
        <x:v>-2</x:v>
      </x:c>
      <x:c r="I13" s="17" t="n">
        <x:f>SUM('Transformed Scores'!K11,'Transformed Scores'!N11,'Transformed Scores'!T11,'Transformed Scores'!V11)</x:f>
        <x:v>-2</x:v>
      </x:c>
      <x:c r="J13" s="18" t="n">
        <x:f>SUM('Transformed Scores'!K12,'Transformed Scores'!N12,'Transformed Scores'!T12,'Transformed Scores'!V12)</x:f>
        <x:v>1</x:v>
      </x:c>
    </x:row>
    <x:row r="14">
      <x:c r="A14" s="11" t="str">
        <x:v>info-yu</x:v>
      </x:c>
      <x:c r="B14" s="12" t="str">
        <x:v>Stimulation</x:v>
      </x:c>
      <x:c r="C14" s="17" t="n">
        <x:f>AVERAGE('Transformed Scores'!H9,'Transformed Scores'!I9,'Transformed Scores'!J9,'Transformed Scores'!U9)</x:f>
        <x:v>1.5</x:v>
      </x:c>
      <x:c r="D14" s="17" t="n">
        <x:f>AVERAGE('Transformed Scores'!H10,'Transformed Scores'!I10,'Transformed Scores'!J10,'Transformed Scores'!U10)</x:f>
        <x:v>0.75</x:v>
      </x:c>
      <x:c r="E14" s="17" t="n">
        <x:f>AVERAGE('Transformed Scores'!H11,'Transformed Scores'!I11,'Transformed Scores'!J11,'Transformed Scores'!U11)</x:f>
        <x:v>0.25</x:v>
      </x:c>
      <x:c r="F14" s="17" t="n">
        <x:f>AVERAGE('Transformed Scores'!H12,'Transformed Scores'!I12,'Transformed Scores'!J12,'Transformed Scores'!U12)</x:f>
        <x:v>0.5</x:v>
      </x:c>
      <x:c r="G14" s="17" t="n">
        <x:f>SUM('Transformed Scores'!H9,'Transformed Scores'!I9,'Transformed Scores'!J9,'Transformed Scores'!U9)</x:f>
        <x:v>6</x:v>
      </x:c>
      <x:c r="H14" s="17" t="n">
        <x:f>SUM('Transformed Scores'!H10,'Transformed Scores'!I10,'Transformed Scores'!J10,'Transformed Scores'!U10)</x:f>
        <x:v>3</x:v>
      </x:c>
      <x:c r="I14" s="17" t="n">
        <x:f>SUM('Transformed Scores'!H11,'Transformed Scores'!I11,'Transformed Scores'!J11,'Transformed Scores'!U11)</x:f>
        <x:v>1</x:v>
      </x:c>
      <x:c r="J14" s="18" t="n">
        <x:f>SUM('Transformed Scores'!H12,'Transformed Scores'!I12,'Transformed Scores'!J12,'Transformed Scores'!U12)</x:f>
        <x:v>2</x:v>
      </x:c>
    </x:row>
    <x:row r="15">
      <x:c r="A15" s="14" t="str">
        <x:v>info-yu</x:v>
      </x:c>
      <x:c r="B15" s="15" t="str">
        <x:v>Novelty</x:v>
      </x:c>
      <x:c r="C15" s="19" t="n">
        <x:f>AVERAGE('Transformed Scores'!F9,'Transformed Scores'!M9,'Transformed Scores'!R9,'Transformed Scores'!AC9)</x:f>
        <x:v>1.25</x:v>
      </x:c>
      <x:c r="D15" s="19" t="n">
        <x:f>AVERAGE('Transformed Scores'!F10,'Transformed Scores'!M10,'Transformed Scores'!R10,'Transformed Scores'!AC10)</x:f>
        <x:v>-0.25</x:v>
      </x:c>
      <x:c r="E15" s="19" t="n">
        <x:f>AVERAGE('Transformed Scores'!F11,'Transformed Scores'!M11,'Transformed Scores'!R11,'Transformed Scores'!AC11)</x:f>
        <x:v>0.25</x:v>
      </x:c>
      <x:c r="F15" s="19" t="n">
        <x:f>AVERAGE('Transformed Scores'!F12,'Transformed Scores'!M12,'Transformed Scores'!R12,'Transformed Scores'!AC12)</x:f>
        <x:v>0.5</x:v>
      </x:c>
      <x:c r="G15" s="19" t="n">
        <x:f>SUM('Transformed Scores'!F9,'Transformed Scores'!M9,'Transformed Scores'!R9,'Transformed Scores'!AC9)</x:f>
        <x:v>5</x:v>
      </x:c>
      <x:c r="H15" s="19" t="n">
        <x:f>SUM('Transformed Scores'!F10,'Transformed Scores'!M10,'Transformed Scores'!R10,'Transformed Scores'!AC10)</x:f>
        <x:v>-1</x:v>
      </x:c>
      <x:c r="I15" s="19" t="n">
        <x:f>SUM('Transformed Scores'!F11,'Transformed Scores'!M11,'Transformed Scores'!R11,'Transformed Scores'!AC11)</x:f>
        <x:v>1</x:v>
      </x:c>
      <x:c r="J15" s="20" t="n">
        <x:f>SUM('Transformed Scores'!F12,'Transformed Scores'!M12,'Transformed Scores'!R12,'Transformed Scores'!AC12)</x:f>
        <x:v>2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3" t="str">
        <x:v>Technical informants and formula-driven SAW tie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8" t="str">
        <x:v>Informant</x:v>
      </x:c>
      <x:c r="B3" s="9" t="str">
        <x:v>C1 points</x:v>
      </x:c>
      <x:c r="C3" s="9" t="str">
        <x:v>C2 points</x:v>
      </x:c>
      <x:c r="D3" s="9" t="str">
        <x:v>C3 points</x:v>
      </x:c>
      <x:c r="E3" s="9" t="str">
        <x:v>Unit</x:v>
      </x:c>
      <x:c r="F3" s="9" t="str">
        <x:v>Estimated days</x:v>
      </x:c>
      <x:c r="G3" s="9" t="str">
        <x:v>Urgency</x:v>
      </x:c>
      <x:c r="H3" s="9" t="str">
        <x:v>Weight total</x:v>
      </x:c>
      <x:c r="I3" s="23"/>
      <x:c r="J3" s="23"/>
      <x:c r="K3" s="24"/>
    </x:row>
    <x:row r="4">
      <x:c r="A4" s="11" t="str">
        <x:v>TI-01</x:v>
      </x:c>
      <x:c r="B4" s="12" t="n">
        <x:v>24</x:v>
      </x:c>
      <x:c r="C4" s="12" t="n">
        <x:v>48</x:v>
      </x:c>
      <x:c r="D4" s="12" t="n">
        <x:v>28</x:v>
      </x:c>
      <x:c r="E4" s="12" t="str">
        <x:v>ibadah-yu</x:v>
      </x:c>
      <x:c r="F4" s="12" t="n">
        <x:v>4</x:v>
      </x:c>
      <x:c r="G4" s="12" t="n">
        <x:v>3</x:v>
      </x:c>
      <x:c r="H4" s="12" t="n">
        <x:f>SUM(B4:D4)</x:f>
        <x:v>100</x:v>
      </x:c>
      <x:c r="I4" s="12"/>
      <x:c r="J4" s="12"/>
      <x:c r="K4" s="13"/>
    </x:row>
    <x:row r="5">
      <x:c r="A5" s="11" t="str">
        <x:v>TI-01</x:v>
      </x:c>
      <x:c r="B5" s="12" t="n">
        <x:v>24</x:v>
      </x:c>
      <x:c r="C5" s="12" t="n">
        <x:v>48</x:v>
      </x:c>
      <x:c r="D5" s="12" t="n">
        <x:v>28</x:v>
      </x:c>
      <x:c r="E5" s="12" t="str">
        <x:v>info-yu</x:v>
      </x:c>
      <x:c r="F5" s="12" t="n">
        <x:v>8</x:v>
      </x:c>
      <x:c r="G5" s="12" t="n">
        <x:v>5</x:v>
      </x:c>
      <x:c r="H5" s="12" t="n">
        <x:f>SUM(B5:D5)</x:f>
        <x:v>100</x:v>
      </x:c>
      <x:c r="I5" s="12"/>
      <x:c r="J5" s="12"/>
      <x:c r="K5" s="13"/>
    </x:row>
    <x:row r="6">
      <x:c r="A6" s="11" t="str">
        <x:v>TI-02</x:v>
      </x:c>
      <x:c r="B6" s="12" t="n">
        <x:v>24</x:v>
      </x:c>
      <x:c r="C6" s="12" t="n">
        <x:v>48</x:v>
      </x:c>
      <x:c r="D6" s="12" t="n">
        <x:v>28</x:v>
      </x:c>
      <x:c r="E6" s="12" t="str">
        <x:v>ibadah-yu</x:v>
      </x:c>
      <x:c r="F6" s="12" t="n">
        <x:v>4</x:v>
      </x:c>
      <x:c r="G6" s="12" t="n">
        <x:v>3</x:v>
      </x:c>
      <x:c r="H6" s="12" t="n">
        <x:f>SUM(B6:D6)</x:f>
        <x:v>100</x:v>
      </x:c>
      <x:c r="I6" s="12"/>
      <x:c r="J6" s="12"/>
      <x:c r="K6" s="13"/>
    </x:row>
    <x:row r="7">
      <x:c r="A7" s="11" t="str">
        <x:v>TI-02</x:v>
      </x:c>
      <x:c r="B7" s="12" t="n">
        <x:v>24</x:v>
      </x:c>
      <x:c r="C7" s="12" t="n">
        <x:v>48</x:v>
      </x:c>
      <x:c r="D7" s="12" t="n">
        <x:v>28</x:v>
      </x:c>
      <x:c r="E7" s="12" t="str">
        <x:v>info-yu</x:v>
      </x:c>
      <x:c r="F7" s="12" t="n">
        <x:v>8</x:v>
      </x:c>
      <x:c r="G7" s="12" t="n">
        <x:v>5</x:v>
      </x:c>
      <x:c r="H7" s="12" t="n">
        <x:f>SUM(B7:D7)</x:f>
        <x:v>100</x:v>
      </x:c>
      <x:c r="I7" s="12"/>
      <x:c r="J7" s="12"/>
      <x:c r="K7" s="13"/>
    </x:row>
    <x:row r="8">
      <x:c r="A8" s="11" t="str">
        <x:v>TI-03</x:v>
      </x:c>
      <x:c r="B8" s="12" t="n">
        <x:v>24</x:v>
      </x:c>
      <x:c r="C8" s="12" t="n">
        <x:v>47</x:v>
      </x:c>
      <x:c r="D8" s="12" t="n">
        <x:v>29</x:v>
      </x:c>
      <x:c r="E8" s="12" t="str">
        <x:v>ibadah-yu</x:v>
      </x:c>
      <x:c r="F8" s="12" t="n">
        <x:v>4</x:v>
      </x:c>
      <x:c r="G8" s="12" t="n">
        <x:v>3</x:v>
      </x:c>
      <x:c r="H8" s="12" t="n">
        <x:f>SUM(B8:D8)</x:f>
        <x:v>100</x:v>
      </x:c>
      <x:c r="I8" s="12"/>
      <x:c r="J8" s="12"/>
      <x:c r="K8" s="13"/>
    </x:row>
    <x:row r="9">
      <x:c r="A9" s="11" t="str">
        <x:v>TI-03</x:v>
      </x:c>
      <x:c r="B9" s="12" t="n">
        <x:v>24</x:v>
      </x:c>
      <x:c r="C9" s="12" t="n">
        <x:v>47</x:v>
      </x:c>
      <x:c r="D9" s="12" t="n">
        <x:v>29</x:v>
      </x:c>
      <x:c r="E9" s="12" t="str">
        <x:v>info-yu</x:v>
      </x:c>
      <x:c r="F9" s="12" t="n">
        <x:v>8</x:v>
      </x:c>
      <x:c r="G9" s="12" t="n">
        <x:v>5</x:v>
      </x:c>
      <x:c r="H9" s="12" t="n">
        <x:f>SUM(B9:D9)</x:f>
        <x:v>100</x:v>
      </x:c>
      <x:c r="I9" s="12"/>
      <x:c r="J9" s="12"/>
      <x:c r="K9" s="13"/>
    </x:row>
    <x:row r="10">
      <x:c r="A10" s="11"/>
      <x:c r="B10" s="12"/>
      <x:c r="C10" s="12"/>
      <x:c r="D10" s="12"/>
      <x:c r="E10" s="12"/>
      <x:c r="F10" s="12"/>
      <x:c r="G10" s="12"/>
      <x:c r="H10" s="12"/>
      <x:c r="I10" s="12"/>
      <x:c r="J10" s="12"/>
      <x:c r="K10" s="13"/>
    </x:row>
    <x:row r="11">
      <x:c r="A11" s="27" t="str">
        <x:v>Consensus weights</x:v>
      </x:c>
      <x:c r="B11" s="7" t="str">
        <x:v>C1</x:v>
      </x:c>
      <x:c r="C11" s="7" t="str">
        <x:v>C2</x:v>
      </x:c>
      <x:c r="D11" s="7" t="str">
        <x:v>C3</x:v>
      </x:c>
      <x:c r="E11" s="12"/>
      <x:c r="F11" s="12"/>
      <x:c r="G11" s="12"/>
      <x:c r="H11" s="12"/>
      <x:c r="I11" s="12"/>
      <x:c r="J11" s="12"/>
      <x:c r="K11" s="13"/>
    </x:row>
    <x:row r="12">
      <x:c r="A12" s="11" t="str">
        <x:v>Mean / normalized</x:v>
      </x:c>
      <x:c r="B12" s="17" t="n">
        <x:f>AVERAGE(B4:B9)/100</x:f>
        <x:v>0.24</x:v>
      </x:c>
      <x:c r="C12" s="17" t="n">
        <x:f>AVERAGE(C4:C9)/100</x:f>
        <x:v>0.4766666666666666</x:v>
      </x:c>
      <x:c r="D12" s="17" t="n">
        <x:f>AVERAGE(D4:D9)/100</x:f>
        <x:v>0.2833333333333333</x:v>
      </x:c>
      <x:c r="E12" s="12"/>
      <x:c r="F12" s="12"/>
      <x:c r="G12" s="12"/>
      <x:c r="H12" s="12"/>
      <x:c r="I12" s="12"/>
      <x:c r="J12" s="12"/>
      <x:c r="K12" s="13"/>
    </x:row>
    <x:row r="13">
      <x:c r="A13" s="11"/>
      <x:c r="B13" s="12"/>
      <x:c r="C13" s="12"/>
      <x:c r="D13" s="12"/>
      <x:c r="E13" s="12"/>
      <x:c r="F13" s="12"/>
      <x:c r="G13" s="12"/>
      <x:c r="H13" s="12"/>
      <x:c r="I13" s="12"/>
      <x:c r="J13" s="12"/>
      <x:c r="K13" s="13"/>
    </x:row>
    <x:row r="14">
      <x:c r="A14" s="27" t="str">
        <x:v>Unit</x:v>
      </x:c>
      <x:c r="B14" s="7" t="str">
        <x:v>X1 gap</x:v>
      </x:c>
      <x:c r="C14" s="7" t="str">
        <x:v>X2 days</x:v>
      </x:c>
      <x:c r="D14" s="7" t="str">
        <x:v>X3 urgency</x:v>
      </x:c>
      <x:c r="E14" s="7" t="str">
        <x:v>R1</x:v>
      </x:c>
      <x:c r="F14" s="7" t="str">
        <x:v>R2</x:v>
      </x:c>
      <x:c r="G14" s="7" t="str">
        <x:v>R3</x:v>
      </x:c>
      <x:c r="H14" s="7" t="str">
        <x:v>C1 contribution</x:v>
      </x:c>
      <x:c r="I14" s="7" t="str">
        <x:v>C2 contribution</x:v>
      </x:c>
      <x:c r="J14" s="7" t="str">
        <x:v>C3 contribution</x:v>
      </x:c>
      <x:c r="K14" s="28" t="str">
        <x:v>Vi / rank</x:v>
      </x:c>
    </x:row>
    <x:row r="15">
      <x:c r="A15" s="11" t="str">
        <x:v>ibadah-yu</x:v>
      </x:c>
      <x:c r="B15" s="17" t="n">
        <x:f>AVERAGE('Overview'!$J$14:$J$19)</x:f>
        <x:v>0.46</x:v>
      </x:c>
      <x:c r="C15" s="17" t="n">
        <x:f>AVERAGEIF($E$4:$E$9,A15,$F$4:$F$9)</x:f>
        <x:v>4</x:v>
      </x:c>
      <x:c r="D15" s="17" t="n">
        <x:f>AVERAGEIF($E$4:$E$9,A15,$G$4:$G$9)</x:f>
        <x:v>3</x:v>
      </x:c>
      <x:c r="E15" s="17" t="n">
        <x:f>B15/MAX($B$15:$B$16)</x:f>
        <x:v>0.47916666666666663</x:v>
      </x:c>
      <x:c r="F15" s="17" t="n">
        <x:f>MIN($C$15:$C$16)/C15</x:f>
        <x:v>1</x:v>
      </x:c>
      <x:c r="G15" s="17" t="n">
        <x:f>D15/MAX($D$15:$D$16)</x:f>
        <x:v>0.6</x:v>
      </x:c>
      <x:c r="H15" s="17" t="n">
        <x:f>$B$12*E15</x:f>
        <x:v>0.11499999999999999</x:v>
      </x:c>
      <x:c r="I15" s="17" t="n">
        <x:f>$C$12*F15</x:f>
        <x:v>0.4766666666666666</x:v>
      </x:c>
      <x:c r="J15" s="17" t="n">
        <x:f>$D$12*G15</x:f>
        <x:v>0.16999999999999998</x:v>
      </x:c>
      <x:c r="K15" s="18" t="n">
        <x:f>SUM(H15:J15)</x:f>
        <x:v>0.7616666666666665</x:v>
      </x:c>
    </x:row>
    <x:row r="16">
      <x:c r="A16" s="11" t="str">
        <x:v>info-yu</x:v>
      </x:c>
      <x:c r="B16" s="17" t="n">
        <x:f>AVERAGE('Overview'!$J$20:$J$25)</x:f>
        <x:v>0.9600000000000001</x:v>
      </x:c>
      <x:c r="C16" s="17" t="n">
        <x:f>AVERAGEIF($E$4:$E$9,A16,$F$4:$F$9)</x:f>
        <x:v>8</x:v>
      </x:c>
      <x:c r="D16" s="17" t="n">
        <x:f>AVERAGEIF($E$4:$E$9,A16,$G$4:$G$9)</x:f>
        <x:v>5</x:v>
      </x:c>
      <x:c r="E16" s="17" t="n">
        <x:f>B16/MAX($B$15:$B$16)</x:f>
        <x:v>1</x:v>
      </x:c>
      <x:c r="F16" s="17" t="n">
        <x:f>MIN($C$15:$C$16)/C16</x:f>
        <x:v>0.5</x:v>
      </x:c>
      <x:c r="G16" s="17" t="n">
        <x:f>D16/MAX($D$15:$D$16)</x:f>
        <x:v>1</x:v>
      </x:c>
      <x:c r="H16" s="17" t="n">
        <x:f>$B$12*E16</x:f>
        <x:v>0.24</x:v>
      </x:c>
      <x:c r="I16" s="17" t="n">
        <x:f>$C$12*F16</x:f>
        <x:v>0.2383333333333333</x:v>
      </x:c>
      <x:c r="J16" s="17" t="n">
        <x:f>$D$12*G16</x:f>
        <x:v>0.2833333333333333</x:v>
      </x:c>
      <x:c r="K16" s="18" t="n">
        <x:f>SUM(H16:J16)</x:f>
        <x:v>0.7616666666666666</x:v>
      </x:c>
    </x:row>
    <x:row r="17">
      <x:c r="A17" s="11"/>
      <x:c r="B17" s="12"/>
      <x:c r="C17" s="12"/>
      <x:c r="D17" s="12"/>
      <x:c r="E17" s="12"/>
      <x:c r="F17" s="12"/>
      <x:c r="G17" s="12"/>
      <x:c r="H17" s="12"/>
      <x:c r="I17" s="12"/>
      <x:c r="J17" s="12"/>
      <x:c r="K17" s="13"/>
    </x:row>
    <x:row r="18">
      <x:c r="A18" s="27" t="str">
        <x:v>Rank</x:v>
      </x:c>
      <x:c r="B18" s="7" t="str">
        <x:v>Tie?</x:v>
      </x:c>
      <x:c r="C18" s="7" t="str">
        <x:v>Tolerance</x:v>
      </x:c>
      <x:c r="D18" s="12"/>
      <x:c r="E18" s="12"/>
      <x:c r="F18" s="12"/>
      <x:c r="G18" s="12"/>
      <x:c r="H18" s="12"/>
      <x:c r="I18" s="12"/>
      <x:c r="J18" s="12"/>
      <x:c r="K18" s="13"/>
    </x:row>
    <x:row r="19">
      <x:c r="A19" s="11" t="str">
        <x:v>ibadah-yu</x:v>
      </x:c>
      <x:c r="B19" s="12" t="str">
        <x:f>IF(ABS($K$15-$K$16)&lt;=$C$19,"1 (tied)","not tied")</x:f>
        <x:v>1 (tied)</x:v>
      </x:c>
      <x:c r="C19" s="12" t="n">
        <x:v>0.000001</x:v>
      </x:c>
      <x:c r="D19" s="12"/>
      <x:c r="E19" s="12"/>
      <x:c r="F19" s="12"/>
      <x:c r="G19" s="12"/>
      <x:c r="H19" s="12"/>
      <x:c r="I19" s="12"/>
      <x:c r="J19" s="12"/>
      <x:c r="K19" s="13"/>
    </x:row>
    <x:row r="20">
      <x:c r="A20" s="14" t="str">
        <x:v>info-yu</x:v>
      </x:c>
      <x:c r="B20" s="15" t="str">
        <x:f>IF(ABS($K$15-$K$16)&lt;=$C$20,"1 (tied)","not tied")</x:f>
        <x:v>1 (tied)</x:v>
      </x:c>
      <x:c r="C20" s="15" t="n">
        <x:v>0.000001</x:v>
      </x:c>
      <x:c r="D20" s="15"/>
      <x:c r="E20" s="15"/>
      <x:c r="F20" s="15"/>
      <x:c r="G20" s="15"/>
      <x:c r="H20" s="15"/>
      <x:c r="I20" s="15"/>
      <x:c r="J20" s="15"/>
      <x:c r="K20" s="16"/>
    </x:row>
  </x:sheetData>
  <x:mergeCells>
    <x:mergeCell ref="A1:K1"/>
  </x:mergeCells>
  <x:pageMargins left="0.7" right="0.7" top="0.75" bottom="0.75" header="0.3" footer="0.3"/>
</x:worksheet>
</file>